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Opklade!$A$5:$R$15</definedName>
    <definedName function="false" hidden="true" localSheetId="1" name="_xlnm._FilterDatabase" vbProcedure="false">'Van plana'!$A$5:$R$17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<sst xmlns="http://schemas.openxmlformats.org/spreadsheetml/2006/main" count="206" uniqueCount="96">
  <si>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</si>
  <si>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</si>
  <si>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</si>
  <si>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</si>
  <si>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</si>
  <si>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</si>
  <si>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</si>
  <si>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</si>
  <si>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</si>
  <si>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</si>
  <si>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</si>
  <si>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</si>
  <si>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</si>
  <si>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</si>
  <si>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</si>
  <si>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</si>
  <si>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</si>
  <si>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</si>
  <si>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</si>
  <si>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</si>
  <si>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</si>
  <si>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</si>
  <si>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</si>
  <si>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</si>
  <si>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</si>
  <si>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</si>
  <si>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</si>
  <si>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</si>
  <si>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</si>
  <si>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stari</t>
  </si>
  <si>
    <t xml:space="preserve">Roanne (France) - Qualification, hard (indoor)</t>
  </si>
  <si>
    <t xml:space="preserve">Paul Jakub</t>
  </si>
  <si>
    <t xml:space="preserve">Mcdonald Niels</t>
  </si>
  <si>
    <t xml:space="preserve">U toku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</si>
  <si>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</si>
  <si>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</si>
  <si>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</si>
  <si>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</si>
  <si>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</si>
  <si>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</si>
  <si>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</si>
  <si>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</si>
  <si>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</si>
  <si>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</si>
  <si>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</si>
  <si>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</si>
  <si>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</si>
  <si>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</si>
  <si>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Lagutin Pavel</t>
  </si>
  <si>
    <t xml:space="preserve">Ovcharenko Oleksandr</t>
  </si>
  <si>
    <t xml:space="preserve">BetMGM.uk</t>
  </si>
  <si>
    <t xml:space="preserve">novi</t>
  </si>
  <si>
    <t xml:space="preserve">Catania (Italy), clay</t>
  </si>
  <si>
    <t xml:space="preserve">Gadamauri Buvaysar</t>
  </si>
  <si>
    <t xml:space="preserve">Kopp Sandro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</si>
  <si>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</si>
  <si>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</si>
  <si>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</si>
  <si>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</si>
  <si>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Searle Henry</t>
  </si>
  <si>
    <t xml:space="preserve">Giunta Massimo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</si>
  <si>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</si>
  <si>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</si>
  <si>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</si>
  <si>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</si>
  <si>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</si>
  <si>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</si>
  <si>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</si>
  <si>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</si>
  <si>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</si>
  <si>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</si>
  <si>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</si>
  <si>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</si>
  <si>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</si>
  <si>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</si>
  <si>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</si>
  <si>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</si>
  <si>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</si>
  <si>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</si>
  <si>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</si>
  <si>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</si>
  <si>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Kucmova Aneta</t>
  </si>
  <si>
    <t xml:space="preserve">Ladbrokes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</si>
  <si>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</si>
  <si>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</si>
  <si>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</si>
  <si>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</si>
  <si>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</si>
  <si>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</si>
  <si>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</si>
  <si>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</si>
  <si>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</si>
  <si>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</si>
  <si>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Mallorca (Spain), clay</t>
  </si>
  <si>
    <t xml:space="preserve">Pigossi Laura</t>
  </si>
  <si>
    <t xml:space="preserve">Brancaccio Nuria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</si>
</sst>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ill>
        <patternFill patternType="solid">
          <fgColor rgb="FF1E7B3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B3+SUM($M$6:$M$15)</f>
        <v>98710</v>
      </c>
      <c r="D3" s="4" t="n">
        <f aca="false">SUM($M$6:$M$15)</f>
        <v>-1290</v>
      </c>
      <c r="E3" s="5" t="n">
        <f aca="false">IFERROR(SUM($M$6:$M$15)/(SUMIF($L$6:$L$15,"Dobijeno",$K$6:$K$15)+SUMIF($L$6:$L$15,"Izgubljeno",$K$6:$K$15)),"")</f>
        <v>-1</v>
      </c>
      <c r="F3" s="6" t="n">
        <f aca="false">COUNTA($E$6:$E$15)</f>
        <v>10</v>
      </c>
      <c r="G3" s="6" t="n">
        <f aca="false">COUNTIF($L$6:$L$15,"Dobijeno")</f>
        <v>0</v>
      </c>
      <c r="H3" s="6" t="n">
        <f aca="false">COUNTIF($L$6:$L$15,"Izgubljeno")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24</v>
      </c>
      <c r="D6" s="11" t="s">
        <v>25</v>
      </c>
      <c r="E6" s="11" t="s">
        <v>26</v>
      </c>
      <c r="F6" s="11" t="s">
        <v>27</v>
      </c>
      <c r="G6" s="11" t="s">
        <v>28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$B$3+SUMIFS($M$6:$M$15,$Q$6:$Q$15,"&lt;="&amp;P6)</f>
        <v>100000</v>
      </c>
      <c r="O6" s="17" t="n">
        <v>0.012895739632287</v>
      </c>
      <c r="P6" s="18" t="n">
        <v>46306.4289088845</v>
      </c>
      <c r="Q6" s="18" t="n">
        <v>46306.6161689815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24</v>
      </c>
      <c r="D7" s="21" t="s">
        <v>30</v>
      </c>
      <c r="E7" s="21" t="s">
        <v>31</v>
      </c>
      <c r="F7" s="21" t="s">
        <v>32</v>
      </c>
      <c r="G7" s="21" t="s">
        <v>28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33</v>
      </c>
      <c r="M7" s="26" t="str">
        <f aca="false">IF(L7="Dobijeno",K7*(H7-1),IF(L7="Izgubljeno",-K7,IF(L7="Povraćaj",0,"")))</f>
        <v/>
      </c>
      <c r="N7" s="24" t="n">
        <f aca="false">$B$3+SUMIFS($M$6:$M$15,$Q$6:$Q$15,"&lt;="&amp;P7)</f>
        <v>100000</v>
      </c>
      <c r="O7" s="27" t="n">
        <v>0.0135114543428647</v>
      </c>
      <c r="P7" s="28" t="n">
        <v>46306.4518352299</v>
      </c>
      <c r="Q7" s="28"/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24</v>
      </c>
      <c r="D8" s="11" t="s">
        <v>34</v>
      </c>
      <c r="E8" s="11" t="s">
        <v>35</v>
      </c>
      <c r="F8" s="11" t="s">
        <v>36</v>
      </c>
      <c r="G8" s="11" t="s">
        <v>37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38</v>
      </c>
      <c r="M8" s="16" t="str">
        <f aca="false">IF(L8="Dobijeno",K8*(H8-1),IF(L8="Izgubljeno",-K8,IF(L8="Povraćaj",0,"")))</f>
        <v/>
      </c>
      <c r="N8" s="14" t="n">
        <f aca="false">$B$3+SUMIFS($M$6:$M$15,$Q$6:$Q$15,"&lt;="&amp;P8)</f>
        <v>100000</v>
      </c>
      <c r="O8" s="17" t="n">
        <v>0.00715434928023313</v>
      </c>
      <c r="P8" s="18" t="n">
        <v>46306.4193930847</v>
      </c>
      <c r="Q8" s="18"/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24</v>
      </c>
      <c r="D9" s="21" t="s">
        <v>30</v>
      </c>
      <c r="E9" s="21" t="s">
        <v>39</v>
      </c>
      <c r="F9" s="21" t="s">
        <v>40</v>
      </c>
      <c r="G9" s="21" t="s">
        <v>41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25" t="s">
        <v>38</v>
      </c>
      <c r="M9" s="26" t="str">
        <f aca="false">IF(L9="Dobijeno",K9*(H9-1),IF(L9="Izgubljeno",-K9,IF(L9="Povraćaj",0,"")))</f>
        <v/>
      </c>
      <c r="N9" s="24" t="n">
        <f aca="false">$B$3+SUMIFS($M$6:$M$15,$Q$6:$Q$15,"&lt;="&amp;P9)</f>
        <v>98710</v>
      </c>
      <c r="O9" s="27" t="n">
        <v>0.0463761242309182</v>
      </c>
      <c r="P9" s="28" t="n">
        <v>46306.6382215706</v>
      </c>
      <c r="Q9" s="28"/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24</v>
      </c>
      <c r="D10" s="11" t="s">
        <v>25</v>
      </c>
      <c r="E10" s="11" t="s">
        <v>42</v>
      </c>
      <c r="F10" s="11" t="s">
        <v>43</v>
      </c>
      <c r="G10" s="11" t="s">
        <v>44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38</v>
      </c>
      <c r="M10" s="16" t="str">
        <f aca="false">IF(L10="Dobijeno",K10*(H10-1),IF(L10="Izgubljeno",-K10,IF(L10="Povraćaj",0,"")))</f>
        <v/>
      </c>
      <c r="N10" s="14" t="n">
        <f aca="false">$B$3+SUMIFS($M$6:$M$15,$Q$6:$Q$15,"&lt;="&amp;P10)</f>
        <v>98710</v>
      </c>
      <c r="O10" s="17" t="n">
        <v>0.0231344906462843</v>
      </c>
      <c r="P10" s="18" t="n">
        <v>46306.7348163256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24</v>
      </c>
      <c r="D11" s="21" t="s">
        <v>30</v>
      </c>
      <c r="E11" s="21" t="s">
        <v>45</v>
      </c>
      <c r="F11" s="21" t="s">
        <v>46</v>
      </c>
      <c r="G11" s="21" t="s">
        <v>47</v>
      </c>
      <c r="H11" s="22" t="n">
        <v>1.36</v>
      </c>
      <c r="I11" s="23" t="n">
        <v>0.777228481648843</v>
      </c>
      <c r="J11" s="23" t="n">
        <v>0.0570307350424262</v>
      </c>
      <c r="K11" s="24" t="n">
        <f aca="false">ROUND(N11*O11,0)</f>
        <v>3909</v>
      </c>
      <c r="L11" s="25" t="s">
        <v>38</v>
      </c>
      <c r="M11" s="26" t="str">
        <f aca="false">IF(L11="Dobijeno",K11*(H11-1),IF(L11="Izgubljeno",-K11,IF(L11="Povraćaj",0,"")))</f>
        <v/>
      </c>
      <c r="N11" s="24" t="n">
        <f aca="false">$B$3+SUMIFS($M$6:$M$15,$Q$6:$Q$15,"&lt;="&amp;P11)</f>
        <v>98710</v>
      </c>
      <c r="O11" s="27" t="n">
        <v>0.0396046771127959</v>
      </c>
      <c r="P11" s="28" t="n">
        <v>46306.7408452174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46307.4791666667</v>
      </c>
      <c r="C12" s="11" t="s">
        <v>24</v>
      </c>
      <c r="D12" s="11" t="s">
        <v>25</v>
      </c>
      <c r="E12" s="11" t="s">
        <v>48</v>
      </c>
      <c r="F12" s="11" t="s">
        <v>49</v>
      </c>
      <c r="G12" s="11" t="s">
        <v>50</v>
      </c>
      <c r="H12" s="12" t="n">
        <v>1.67</v>
      </c>
      <c r="I12" s="13" t="n">
        <v>0.638345060344031</v>
      </c>
      <c r="J12" s="13" t="n">
        <v>0.0660362507745314</v>
      </c>
      <c r="K12" s="14" t="n">
        <f aca="false">ROUND(N12*O12,0)</f>
        <v>2432</v>
      </c>
      <c r="L12" s="29" t="s">
        <v>38</v>
      </c>
      <c r="M12" s="16" t="str">
        <f aca="false">IF(L12="Dobijeno",K12*(H12-1),IF(L12="Izgubljeno",-K12,IF(L12="Povraćaj",0,"")))</f>
        <v/>
      </c>
      <c r="N12" s="14" t="n">
        <f aca="false">$B$3+SUMIFS($M$6:$M$15,$Q$6:$Q$15,"&lt;="&amp;P12)</f>
        <v>98710</v>
      </c>
      <c r="O12" s="17" t="n">
        <v>0.024640392080049</v>
      </c>
      <c r="P12" s="18" t="n">
        <v>46306.8129258381</v>
      </c>
      <c r="Q12" s="18"/>
      <c r="R12" s="11" t="s">
        <v>51</v>
      </c>
    </row>
    <row r="13" customFormat="false" ht="18" hidden="false" customHeight="true" outlineLevel="0" collapsed="false">
      <c r="A13" s="19" t="n">
        <v>8</v>
      </c>
      <c r="B13" s="20" t="n">
        <v>46307.5416666667</v>
      </c>
      <c r="C13" s="21" t="s">
        <v>24</v>
      </c>
      <c r="D13" s="21" t="s">
        <v>52</v>
      </c>
      <c r="E13" s="21" t="s">
        <v>53</v>
      </c>
      <c r="F13" s="21" t="s">
        <v>54</v>
      </c>
      <c r="G13" s="21" t="s">
        <v>41</v>
      </c>
      <c r="H13" s="22" t="n">
        <v>2.29</v>
      </c>
      <c r="I13" s="23" t="n">
        <v>0.459883310011969</v>
      </c>
      <c r="J13" s="23" t="n">
        <v>0.0531327799274091</v>
      </c>
      <c r="K13" s="24" t="n">
        <f aca="false">ROUND(N13*O13,0)</f>
        <v>1016</v>
      </c>
      <c r="L13" s="25" t="s">
        <v>38</v>
      </c>
      <c r="M13" s="26" t="str">
        <f aca="false">IF(L13="Dobijeno",K13*(H13-1),IF(L13="Izgubljeno",-K13,IF(L13="Povraćaj",0,"")))</f>
        <v/>
      </c>
      <c r="N13" s="24" t="n">
        <f aca="false">$B$3+SUMIFS($M$6:$M$15,$Q$6:$Q$15,"&lt;="&amp;P13)</f>
        <v>98710</v>
      </c>
      <c r="O13" s="27" t="n">
        <v>0.0102970503735289</v>
      </c>
      <c r="P13" s="28" t="n">
        <v>46306.8129257319</v>
      </c>
      <c r="Q13" s="28"/>
      <c r="R13" s="21" t="s">
        <v>51</v>
      </c>
    </row>
    <row r="14" customFormat="false" ht="18" hidden="false" customHeight="true" outlineLevel="0" collapsed="false">
      <c r="A14" s="9" t="n">
        <v>9</v>
      </c>
      <c r="B14" s="10" t="n">
        <v>46307.5833333333</v>
      </c>
      <c r="C14" s="11" t="s">
        <v>24</v>
      </c>
      <c r="D14" s="11" t="s">
        <v>55</v>
      </c>
      <c r="E14" s="11" t="s">
        <v>56</v>
      </c>
      <c r="F14" s="11" t="s">
        <v>57</v>
      </c>
      <c r="G14" s="11" t="s">
        <v>58</v>
      </c>
      <c r="H14" s="12" t="n">
        <v>1.91</v>
      </c>
      <c r="I14" s="13" t="n">
        <v>0.550436972176774</v>
      </c>
      <c r="J14" s="13" t="n">
        <v>0.0513346168576376</v>
      </c>
      <c r="K14" s="14" t="n">
        <f aca="false">ROUND(N14*O14,0)</f>
        <v>1392</v>
      </c>
      <c r="L14" s="29" t="s">
        <v>38</v>
      </c>
      <c r="M14" s="16" t="str">
        <f aca="false">IF(L14="Dobijeno",K14*(H14-1),IF(L14="Izgubljeno",-K14,IF(L14="Povraćaj",0,"")))</f>
        <v/>
      </c>
      <c r="N14" s="14" t="n">
        <f aca="false">$B$3+SUMIFS($M$6:$M$15,$Q$6:$Q$15,"&lt;="&amp;P14)</f>
        <v>98710</v>
      </c>
      <c r="O14" s="17" t="n">
        <v>0.0141029167191312</v>
      </c>
      <c r="P14" s="18" t="n">
        <v>46306.7348162756</v>
      </c>
      <c r="Q14" s="18"/>
      <c r="R14" s="11" t="s">
        <v>29</v>
      </c>
    </row>
    <row r="15" customFormat="false" ht="18" hidden="false" customHeight="true" outlineLevel="0" collapsed="false">
      <c r="A15" s="19" t="n">
        <v>10</v>
      </c>
      <c r="B15" s="20" t="n">
        <v>46308.4166666667</v>
      </c>
      <c r="C15" s="21" t="s">
        <v>24</v>
      </c>
      <c r="D15" s="21" t="s">
        <v>52</v>
      </c>
      <c r="E15" s="21" t="s">
        <v>59</v>
      </c>
      <c r="F15" s="21" t="s">
        <v>60</v>
      </c>
      <c r="G15" s="21" t="s">
        <v>37</v>
      </c>
      <c r="H15" s="22" t="n">
        <v>3</v>
      </c>
      <c r="I15" s="23" t="n">
        <v>0.354632512232372</v>
      </c>
      <c r="J15" s="23" t="n">
        <v>0.0638975366971162</v>
      </c>
      <c r="K15" s="24" t="n">
        <f aca="false">ROUND(N15*O15,0)</f>
        <v>788</v>
      </c>
      <c r="L15" s="25" t="s">
        <v>38</v>
      </c>
      <c r="M15" s="26" t="str">
        <f aca="false">IF(L15="Dobijeno",K15*(H15-1),IF(L15="Izgubljeno",-K15,IF(L15="Povraćaj",0,"")))</f>
        <v/>
      </c>
      <c r="N15" s="24" t="n">
        <f aca="false">$B$3+SUMIFS($M$6:$M$15,$Q$6:$Q$15,"&lt;="&amp;P15)</f>
        <v>98710</v>
      </c>
      <c r="O15" s="27" t="n">
        <v>0.00798719208713952</v>
      </c>
      <c r="P15" s="28" t="n">
        <v>46306.8129256591</v>
      </c>
      <c r="Q15" s="28"/>
      <c r="R15" s="21" t="s">
        <v>51</v>
      </c>
    </row>
  </sheetData>
  <autoFilter ref="A5:R15"/>
  <conditionalFormatting sqref="M6:M15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B3+SUM($M$6:$M$17)</f>
        <v>100170.6</v>
      </c>
      <c r="D3" s="4" t="n">
        <f aca="false">SUM($M$6:$M$17)</f>
        <v>170.6</v>
      </c>
      <c r="E3" s="5" t="n">
        <f aca="false">IFERROR(SUM($M$6:$M$17)/(SUMIF($L$6:$L$17,"Dobijeno",$K$6:$K$17)+SUMIF($L$6:$L$17,"Izgubljeno",$K$6:$K$17)),"")</f>
        <v>0.0319775070290535</v>
      </c>
      <c r="F3" s="6" t="n">
        <f aca="false">COUNTA($E$6:$E$17)</f>
        <v>12</v>
      </c>
      <c r="G3" s="6" t="n">
        <f aca="false">COUNTIF($L$6:$L$17,"Dobijeno")</f>
        <v>2</v>
      </c>
      <c r="H3" s="6" t="n">
        <f aca="false">COUNTIF($L$6:$L$17,"Izgubljeno")</f>
        <v>2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62</v>
      </c>
      <c r="D6" s="11" t="s">
        <v>63</v>
      </c>
      <c r="E6" s="11" t="s">
        <v>64</v>
      </c>
      <c r="F6" s="11" t="s">
        <v>65</v>
      </c>
      <c r="G6" s="11" t="s">
        <v>28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$B$3+SUMIFS($M$6:$M$17,$Q$6:$Q$17,"&lt;="&amp;P6)</f>
        <v>100000</v>
      </c>
      <c r="O6" s="17" t="n">
        <v>0.00836863459410416</v>
      </c>
      <c r="P6" s="18" t="n">
        <v>46306.419393116</v>
      </c>
      <c r="Q6" s="18" t="n">
        <v>46306.5451388889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62</v>
      </c>
      <c r="D7" s="21" t="s">
        <v>66</v>
      </c>
      <c r="E7" s="21" t="s">
        <v>67</v>
      </c>
      <c r="F7" s="21" t="s">
        <v>68</v>
      </c>
      <c r="G7" s="21" t="s">
        <v>28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30" t="s">
        <v>5</v>
      </c>
      <c r="M7" s="26" t="n">
        <f aca="false">IF(L7="Dobijeno",K7*(H7-1),IF(L7="Izgubljeno",-K7,IF(L7="Povraćaj",0,"")))</f>
        <v>2024</v>
      </c>
      <c r="N7" s="24" t="n">
        <f aca="false">$B$3+SUMIFS($M$6:$M$17,$Q$6:$Q$17,"&lt;="&amp;P7)</f>
        <v>100000</v>
      </c>
      <c r="O7" s="27" t="n">
        <v>0.0101170555307463</v>
      </c>
      <c r="P7" s="28" t="n">
        <v>46306.4193930555</v>
      </c>
      <c r="Q7" s="28" t="n">
        <v>46306.7348263889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62</v>
      </c>
      <c r="D8" s="11" t="s">
        <v>66</v>
      </c>
      <c r="E8" s="11" t="s">
        <v>69</v>
      </c>
      <c r="F8" s="11" t="s">
        <v>70</v>
      </c>
      <c r="G8" s="11" t="s">
        <v>28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$B$3+SUMIFS($M$6:$M$17,$Q$6:$Q$17,"&lt;="&amp;P8)</f>
        <v>100000</v>
      </c>
      <c r="O8" s="17" t="n">
        <v>0.0117587030895205</v>
      </c>
      <c r="P8" s="18" t="n">
        <v>46306.4193931489</v>
      </c>
      <c r="Q8" s="18" t="n">
        <v>46306.7348263889</v>
      </c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62</v>
      </c>
      <c r="D9" s="21" t="s">
        <v>66</v>
      </c>
      <c r="E9" s="21" t="s">
        <v>71</v>
      </c>
      <c r="F9" s="21" t="s">
        <v>72</v>
      </c>
      <c r="G9" s="21" t="s">
        <v>28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30" t="s">
        <v>6</v>
      </c>
      <c r="M9" s="26" t="n">
        <f aca="false">IF(L9="Dobijeno",K9*(H9-1),IF(L9="Izgubljeno",-K9,IF(L9="Povraćaj",0,"")))</f>
        <v>-2310</v>
      </c>
      <c r="N9" s="24" t="n">
        <f aca="false">$B$3+SUMIFS($M$6:$M$17,$Q$6:$Q$17,"&lt;="&amp;P9)</f>
        <v>100000</v>
      </c>
      <c r="O9" s="27" t="n">
        <v>0.0231018984358718</v>
      </c>
      <c r="P9" s="28" t="n">
        <v>46306.4326800874</v>
      </c>
      <c r="Q9" s="28" t="n">
        <v>46306.8129282407</v>
      </c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62</v>
      </c>
      <c r="D10" s="11" t="s">
        <v>73</v>
      </c>
      <c r="E10" s="11" t="s">
        <v>74</v>
      </c>
      <c r="F10" s="11" t="s">
        <v>75</v>
      </c>
      <c r="G10" s="11" t="s">
        <v>58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38</v>
      </c>
      <c r="M10" s="16" t="str">
        <f aca="false">IF(L10="Dobijeno",K10*(H10-1),IF(L10="Izgubljeno",-K10,IF(L10="Povraćaj",0,"")))</f>
        <v/>
      </c>
      <c r="N10" s="14" t="n">
        <f aca="false">$B$3+SUMIFS($M$6:$M$17,$Q$6:$Q$17,"&lt;="&amp;P10)</f>
        <v>100000</v>
      </c>
      <c r="O10" s="17" t="n">
        <v>0.00525478382745963</v>
      </c>
      <c r="P10" s="18" t="n">
        <v>46306.4193929975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62</v>
      </c>
      <c r="D11" s="21" t="s">
        <v>73</v>
      </c>
      <c r="E11" s="21" t="s">
        <v>76</v>
      </c>
      <c r="F11" s="21" t="s">
        <v>77</v>
      </c>
      <c r="G11" s="21" t="s">
        <v>37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25" t="s">
        <v>38</v>
      </c>
      <c r="M11" s="26" t="str">
        <f aca="false">IF(L11="Dobijeno",K11*(H11-1),IF(L11="Izgubljeno",-K11,IF(L11="Povraćaj",0,"")))</f>
        <v/>
      </c>
      <c r="N11" s="24" t="n">
        <f aca="false">$B$3+SUMIFS($M$6:$M$17,$Q$6:$Q$17,"&lt;="&amp;P11)</f>
        <v>100000</v>
      </c>
      <c r="O11" s="27" t="n">
        <v>0.00924793190790854</v>
      </c>
      <c r="P11" s="28" t="n">
        <v>46306.4193930267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62</v>
      </c>
      <c r="D12" s="11" t="s">
        <v>73</v>
      </c>
      <c r="E12" s="11" t="s">
        <v>78</v>
      </c>
      <c r="F12" s="11" t="s">
        <v>79</v>
      </c>
      <c r="G12" s="11" t="s">
        <v>80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38</v>
      </c>
      <c r="M12" s="16" t="str">
        <f aca="false">IF(L12="Dobijeno",K12*(H12-1),IF(L12="Izgubljeno",-K12,IF(L12="Povraćaj",0,"")))</f>
        <v/>
      </c>
      <c r="N12" s="14" t="n">
        <f aca="false">$B$3+SUMIFS($M$6:$M$17,$Q$6:$Q$17,"&lt;="&amp;P12)</f>
        <v>100000</v>
      </c>
      <c r="O12" s="17" t="n">
        <v>0.0284227669902136</v>
      </c>
      <c r="P12" s="18" t="n">
        <v>46306.432680161</v>
      </c>
      <c r="Q12" s="18"/>
      <c r="R12" s="11" t="s">
        <v>29</v>
      </c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62</v>
      </c>
      <c r="D13" s="21" t="s">
        <v>63</v>
      </c>
      <c r="E13" s="21" t="s">
        <v>81</v>
      </c>
      <c r="F13" s="21" t="s">
        <v>65</v>
      </c>
      <c r="G13" s="21" t="s">
        <v>82</v>
      </c>
      <c r="H13" s="22" t="n">
        <v>3.25</v>
      </c>
      <c r="I13" s="23" t="n">
        <v>0.323280998329105</v>
      </c>
      <c r="J13" s="23" t="n">
        <v>0.0506632445695918</v>
      </c>
      <c r="K13" s="24" t="n">
        <f aca="false">ROUND(N13*O13,0)</f>
        <v>577</v>
      </c>
      <c r="L13" s="25" t="s">
        <v>38</v>
      </c>
      <c r="M13" s="26" t="str">
        <f aca="false">IF(L13="Dobijeno",K13*(H13-1),IF(L13="Izgubljeno",-K13,IF(L13="Povraćaj",0,"")))</f>
        <v/>
      </c>
      <c r="N13" s="24" t="n">
        <f aca="false">$B$3+SUMIFS($M$6:$M$17,$Q$6:$Q$17,"&lt;="&amp;P13)</f>
        <v>102480.6</v>
      </c>
      <c r="O13" s="27" t="n">
        <v>0.00562924939662131</v>
      </c>
      <c r="P13" s="28" t="n">
        <v>46306.74084516</v>
      </c>
      <c r="Q13" s="28"/>
      <c r="R13" s="21" t="s">
        <v>29</v>
      </c>
    </row>
    <row r="14" customFormat="false" ht="18" hidden="false" customHeight="true" outlineLevel="0" collapsed="false">
      <c r="A14" s="9" t="n">
        <v>9</v>
      </c>
      <c r="B14" s="10" t="n">
        <v>46307.4166666667</v>
      </c>
      <c r="C14" s="11" t="s">
        <v>62</v>
      </c>
      <c r="D14" s="11" t="s">
        <v>63</v>
      </c>
      <c r="E14" s="11" t="s">
        <v>83</v>
      </c>
      <c r="F14" s="11" t="s">
        <v>84</v>
      </c>
      <c r="G14" s="11" t="s">
        <v>80</v>
      </c>
      <c r="H14" s="12" t="n">
        <v>1.33</v>
      </c>
      <c r="I14" s="13" t="n">
        <v>0.815112130507263</v>
      </c>
      <c r="J14" s="13" t="n">
        <v>0.0840991335746604</v>
      </c>
      <c r="K14" s="14" t="n">
        <f aca="false">ROUND(N14*O14,0)</f>
        <v>6529</v>
      </c>
      <c r="L14" s="29" t="s">
        <v>38</v>
      </c>
      <c r="M14" s="16" t="str">
        <f aca="false">IF(L14="Dobijeno",K14*(H14-1),IF(L14="Izgubljeno",-K14,IF(L14="Povraćaj",0,"")))</f>
        <v/>
      </c>
      <c r="N14" s="14" t="n">
        <f aca="false">$B$3+SUMIFS($M$6:$M$17,$Q$6:$Q$17,"&lt;="&amp;P14)</f>
        <v>102480.6</v>
      </c>
      <c r="O14" s="17" t="n">
        <v>0.0637114648292882</v>
      </c>
      <c r="P14" s="18" t="n">
        <v>46306.7759956741</v>
      </c>
      <c r="Q14" s="18"/>
      <c r="R14" s="11" t="s">
        <v>29</v>
      </c>
    </row>
    <row r="15" customFormat="false" ht="18" hidden="false" customHeight="true" outlineLevel="0" collapsed="false">
      <c r="A15" s="19" t="n">
        <v>10</v>
      </c>
      <c r="B15" s="20" t="n">
        <v>46307.4583333333</v>
      </c>
      <c r="C15" s="21" t="s">
        <v>62</v>
      </c>
      <c r="D15" s="21" t="s">
        <v>85</v>
      </c>
      <c r="E15" s="21" t="s">
        <v>86</v>
      </c>
      <c r="F15" s="21" t="s">
        <v>87</v>
      </c>
      <c r="G15" s="21" t="s">
        <v>28</v>
      </c>
      <c r="H15" s="22" t="n">
        <v>2.2</v>
      </c>
      <c r="I15" s="23" t="n">
        <v>0.486697706236327</v>
      </c>
      <c r="J15" s="23" t="n">
        <v>0.0707349537199185</v>
      </c>
      <c r="K15" s="24" t="n">
        <f aca="false">ROUND(N15*O15,0)</f>
        <v>1510</v>
      </c>
      <c r="L15" s="25" t="s">
        <v>38</v>
      </c>
      <c r="M15" s="26" t="str">
        <f aca="false">IF(L15="Dobijeno",K15*(H15-1),IF(L15="Izgubljeno",-K15,IF(L15="Povraćaj",0,"")))</f>
        <v/>
      </c>
      <c r="N15" s="24" t="n">
        <f aca="false">$B$3+SUMIFS($M$6:$M$17,$Q$6:$Q$17,"&lt;="&amp;P15)</f>
        <v>102480.6</v>
      </c>
      <c r="O15" s="27" t="n">
        <v>0.0147364486916497</v>
      </c>
      <c r="P15" s="28" t="n">
        <v>46306.8129257842</v>
      </c>
      <c r="Q15" s="28"/>
      <c r="R15" s="21" t="s">
        <v>51</v>
      </c>
    </row>
    <row r="16" customFormat="false" ht="18" hidden="false" customHeight="true" outlineLevel="0" collapsed="false">
      <c r="A16" s="9" t="n">
        <v>11</v>
      </c>
      <c r="B16" s="10" t="n">
        <v>46307.5625</v>
      </c>
      <c r="C16" s="11" t="s">
        <v>88</v>
      </c>
      <c r="D16" s="11" t="s">
        <v>89</v>
      </c>
      <c r="E16" s="11" t="s">
        <v>90</v>
      </c>
      <c r="F16" s="11" t="s">
        <v>91</v>
      </c>
      <c r="G16" s="11" t="s">
        <v>92</v>
      </c>
      <c r="H16" s="12" t="n">
        <v>1.67</v>
      </c>
      <c r="I16" s="13" t="n">
        <v>0.63137116329942</v>
      </c>
      <c r="J16" s="13" t="n">
        <v>0.0543898427100313</v>
      </c>
      <c r="K16" s="14" t="n">
        <f aca="false">ROUND(N16*O16,0)</f>
        <v>2029</v>
      </c>
      <c r="L16" s="29" t="s">
        <v>38</v>
      </c>
      <c r="M16" s="16" t="str">
        <f aca="false">IF(L16="Dobijeno",K16*(H16-1),IF(L16="Izgubljeno",-K16,IF(L16="Povraćaj",0,"")))</f>
        <v/>
      </c>
      <c r="N16" s="14" t="n">
        <f aca="false">$B$3+SUMIFS($M$6:$M$17,$Q$6:$Q$17,"&lt;="&amp;P16)</f>
        <v>100000</v>
      </c>
      <c r="O16" s="17" t="n">
        <v>0.0202947174291162</v>
      </c>
      <c r="P16" s="18" t="n">
        <v>46306.4326802327</v>
      </c>
      <c r="Q16" s="18"/>
      <c r="R16" s="11" t="s">
        <v>29</v>
      </c>
    </row>
    <row r="17" customFormat="false" ht="18" hidden="false" customHeight="true" outlineLevel="0" collapsed="false">
      <c r="A17" s="19" t="n">
        <v>12</v>
      </c>
      <c r="B17" s="20" t="n">
        <v>46308.4583333333</v>
      </c>
      <c r="C17" s="21" t="s">
        <v>62</v>
      </c>
      <c r="D17" s="21" t="s">
        <v>93</v>
      </c>
      <c r="E17" s="21" t="s">
        <v>94</v>
      </c>
      <c r="F17" s="21" t="s">
        <v>95</v>
      </c>
      <c r="G17" s="21" t="s">
        <v>28</v>
      </c>
      <c r="H17" s="22" t="n">
        <v>3.2</v>
      </c>
      <c r="I17" s="23" t="n">
        <v>0.337263190143472</v>
      </c>
      <c r="J17" s="23" t="n">
        <v>0.0792422084591091</v>
      </c>
      <c r="K17" s="24" t="n">
        <f aca="false">ROUND(N17*O17,0)</f>
        <v>923</v>
      </c>
      <c r="L17" s="25" t="s">
        <v>38</v>
      </c>
      <c r="M17" s="26" t="str">
        <f aca="false">IF(L17="Dobijeno",K17*(H17-1),IF(L17="Izgubljeno",-K17,IF(L17="Povraćaj",0,"")))</f>
        <v/>
      </c>
      <c r="N17" s="24" t="n">
        <f aca="false">$B$3+SUMIFS($M$6:$M$17,$Q$6:$Q$17,"&lt;="&amp;P17)</f>
        <v>102480.6</v>
      </c>
      <c r="O17" s="27" t="n">
        <v>0.00900479641580785</v>
      </c>
      <c r="P17" s="28" t="n">
        <v>46306.7759956213</v>
      </c>
      <c r="Q17" s="28"/>
      <c r="R17" s="21" t="s">
        <v>29</v>
      </c>
    </row>
  </sheetData>
  <autoFilter ref="A5:R17"/>
  <conditionalFormatting sqref="M6:M17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2026-10-11T17:30:38Z</dcterms:created>
  <dc:creator>openpyxl</dc:creator>
  <dc:description/>
  <dc:language>en-US</dc:language>
  <cp:lastModifiedBy/>
  <dcterms:modified xsi:type="dcterms:W3CDTF">2026-10-11T17:30:38Z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