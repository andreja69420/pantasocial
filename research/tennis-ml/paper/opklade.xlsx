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9" customWidth="1" min="13" max="13"/>
    <col width="11" customWidth="1" min="14" max="14"/>
    <col width="9" customWidth="1" min="15" max="15"/>
    <col width="9" customWidth="1" min="16" max="16"/>
    <col width="13" customWidth="1" min="17" max="17"/>
  </cols>
  <sheetData>
    <row r="1">
      <c r="A1" s="1" t="inlineStr">
        <is>
          <t>Banka</t>
        </is>
      </c>
      <c r="B1" s="2" t="n">
        <v>1000</v>
      </c>
      <c r="C1" t="inlineStr">
        <is>
          <t>&lt;- upiši svoju banku; ulozi se preračunaju sami (1/4 Kelly)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</t>
        </is>
      </c>
      <c r="Q3" s="3" t="inlineStr">
        <is>
          <t>Status</t>
        </is>
      </c>
    </row>
    <row r="4">
      <c r="A4" t="n">
        <v>1</v>
      </c>
      <c r="B4" s="4" t="n">
        <v>46306.42013888889</v>
      </c>
      <c r="C4" t="inlineStr">
        <is>
          <t>WTA 125</t>
        </is>
      </c>
      <c r="D4" t="inlineStr">
        <is>
          <t>ne</t>
        </is>
      </c>
      <c r="E4" t="inlineStr">
        <is>
          <t>Mallorca (Spain) - Qualification, clay</t>
        </is>
      </c>
      <c r="F4" t="inlineStr">
        <is>
          <t>Hesse Amandine</t>
        </is>
      </c>
      <c r="G4" t="inlineStr">
        <is>
          <t>Garcia Cid Maria</t>
        </is>
      </c>
      <c r="H4" t="inlineStr">
        <is>
          <t>Betway</t>
        </is>
      </c>
      <c r="I4" t="n">
        <v>2.6</v>
      </c>
      <c r="J4" s="5" t="n">
        <v>0.4052151005393333</v>
      </c>
      <c r="K4" s="5" t="n">
        <v>0.05355926140226663</v>
      </c>
      <c r="L4" s="5" t="n">
        <v>0.008368634594104161</v>
      </c>
      <c r="M4" s="6">
        <f>ROUND($B$1*L4,2)</f>
        <v/>
      </c>
      <c r="N4" t="n">
        <v>2.6</v>
      </c>
      <c r="O4" t="inlineStr"/>
      <c r="P4" s="6">
        <f>IF(O4="W",M4*(I4-1),IF(O4="L",-M4,IF(O4="V",0,"")))</f>
        <v/>
      </c>
      <c r="Q4" t="inlineStr">
        <is>
          <t>u toku / počeo</t>
        </is>
      </c>
    </row>
    <row r="5">
      <c r="A5" t="n">
        <v>2</v>
      </c>
      <c r="B5" s="4" t="n">
        <v>46306.5625</v>
      </c>
      <c r="C5" t="inlineStr">
        <is>
          <t>WTA 125</t>
        </is>
      </c>
      <c r="D5" t="inlineStr">
        <is>
          <t>ne</t>
        </is>
      </c>
      <c r="E5" t="inlineStr">
        <is>
          <t>Lisbon (Portugal) - Qualification, clay</t>
        </is>
      </c>
      <c r="F5" t="inlineStr">
        <is>
          <t>Cakarevic Sara</t>
        </is>
      </c>
      <c r="G5" t="inlineStr">
        <is>
          <t>Tsygourova Katerina</t>
        </is>
      </c>
      <c r="H5" t="inlineStr">
        <is>
          <t>Betway</t>
        </is>
      </c>
      <c r="I5" t="n">
        <v>3</v>
      </c>
      <c r="J5" s="5" t="n">
        <v>0.3603121480819901</v>
      </c>
      <c r="K5" s="5" t="n">
        <v>0.08093644424597013</v>
      </c>
      <c r="L5" s="5" t="n">
        <v>0.01011705553074627</v>
      </c>
      <c r="M5" s="6">
        <f>ROUND($B$1*L5,2)</f>
        <v/>
      </c>
      <c r="N5" t="n">
        <v>3</v>
      </c>
      <c r="O5" t="inlineStr"/>
      <c r="P5" s="6">
        <f>IF(O5="W",M5*(I5-1),IF(O5="L",-M5,IF(O5="V",0,"")))</f>
        <v/>
      </c>
      <c r="Q5" t="inlineStr">
        <is>
          <t>čeka</t>
        </is>
      </c>
    </row>
    <row r="6">
      <c r="A6" t="n">
        <v>3</v>
      </c>
      <c r="B6" s="4" t="n">
        <v>46306.5625</v>
      </c>
      <c r="C6" t="inlineStr">
        <is>
          <t>WTA 125</t>
        </is>
      </c>
      <c r="D6" t="inlineStr">
        <is>
          <t>ne</t>
        </is>
      </c>
      <c r="E6" t="inlineStr">
        <is>
          <t>Lisbon (Portugal) - Qualification, clay</t>
        </is>
      </c>
      <c r="F6" t="inlineStr">
        <is>
          <t>Nagy Adrienn</t>
        </is>
      </c>
      <c r="G6" t="inlineStr">
        <is>
          <t>Voloshchuk Angelina</t>
        </is>
      </c>
      <c r="H6" t="inlineStr">
        <is>
          <t>Betway</t>
        </is>
      </c>
      <c r="I6" t="n">
        <v>2.1</v>
      </c>
      <c r="J6" s="5" t="n">
        <v>0.5008277588542334</v>
      </c>
      <c r="K6" s="5" t="n">
        <v>0.05173829359389015</v>
      </c>
      <c r="L6" s="5" t="n">
        <v>0.01175870308952049</v>
      </c>
      <c r="M6" s="6">
        <f>ROUND($B$1*L6,2)</f>
        <v/>
      </c>
      <c r="N6" t="n">
        <v>2.1</v>
      </c>
      <c r="O6" t="inlineStr"/>
      <c r="P6" s="6">
        <f>IF(O6="W",M6*(I6-1),IF(O6="L",-M6,IF(O6="V",0,"")))</f>
        <v/>
      </c>
      <c r="Q6" t="inlineStr">
        <is>
          <t>čeka</t>
        </is>
      </c>
    </row>
    <row r="7">
      <c r="A7" t="n">
        <v>4</v>
      </c>
      <c r="B7" s="4" t="n">
        <v>46307.16666666666</v>
      </c>
      <c r="C7" t="inlineStr">
        <is>
          <t>Muški Challenger</t>
        </is>
      </c>
      <c r="D7" t="inlineStr">
        <is>
          <t>DA</t>
        </is>
      </c>
      <c r="E7" t="inlineStr">
        <is>
          <t>Jinan (China), hard</t>
        </is>
      </c>
      <c r="F7" t="inlineStr">
        <is>
          <t>Kopriva Vit</t>
        </is>
      </c>
      <c r="G7" t="inlineStr">
        <is>
          <t>Kotov Pavel</t>
        </is>
      </c>
      <c r="H7" t="inlineStr">
        <is>
          <t>10bet</t>
        </is>
      </c>
      <c r="I7" t="n">
        <v>2.75</v>
      </c>
      <c r="J7" s="5" t="n">
        <v>0.3818474345315025</v>
      </c>
      <c r="K7" s="5" t="n">
        <v>0.05008044496163189</v>
      </c>
      <c r="L7" s="5" t="n">
        <v>0.007154349280233127</v>
      </c>
      <c r="M7" s="6">
        <f>ROUND($B$1*L7,2)</f>
        <v/>
      </c>
      <c r="N7" t="n">
        <v>2.75</v>
      </c>
      <c r="O7" t="inlineStr"/>
      <c r="P7" s="6">
        <f>IF(O7="W",M7*(I7-1),IF(O7="L",-M7,IF(O7="V",0,"")))</f>
        <v/>
      </c>
      <c r="Q7" t="inlineStr">
        <is>
          <t>čeka</t>
        </is>
      </c>
    </row>
    <row r="8">
      <c r="A8" t="n">
        <v>5</v>
      </c>
      <c r="B8" s="4" t="n">
        <v>46307.41666666666</v>
      </c>
      <c r="C8" t="inlineStr">
        <is>
          <t>WTA 125</t>
        </is>
      </c>
      <c r="D8" t="inlineStr">
        <is>
          <t>ne</t>
        </is>
      </c>
      <c r="E8" t="inlineStr">
        <is>
          <t>Rovereto (Italy), hard (indoor)</t>
        </is>
      </c>
      <c r="F8" t="inlineStr">
        <is>
          <t>Radivojevic Lola</t>
        </is>
      </c>
      <c r="G8" t="inlineStr">
        <is>
          <t>Kostovic Teodora</t>
        </is>
      </c>
      <c r="H8" t="inlineStr">
        <is>
          <t>Paddy Power</t>
        </is>
      </c>
      <c r="I8" t="n">
        <v>4.33</v>
      </c>
      <c r="J8" s="5" t="n">
        <v>0.2471117137602222</v>
      </c>
      <c r="K8" s="5" t="n">
        <v>0.06999372058176223</v>
      </c>
      <c r="L8" s="5" t="n">
        <v>0.005254783827459627</v>
      </c>
      <c r="M8" s="6">
        <f>ROUND($B$1*L8,2)</f>
        <v/>
      </c>
      <c r="N8" t="n">
        <v>4.33</v>
      </c>
      <c r="O8" t="inlineStr"/>
      <c r="P8" s="6">
        <f>IF(O8="W",M8*(I8-1),IF(O8="L",-M8,IF(O8="V",0,"")))</f>
        <v/>
      </c>
      <c r="Q8" t="inlineStr">
        <is>
          <t>čeka</t>
        </is>
      </c>
    </row>
    <row r="9">
      <c r="A9" t="n">
        <v>6</v>
      </c>
      <c r="B9" s="4" t="n">
        <v>46307.41666666666</v>
      </c>
      <c r="C9" t="inlineStr">
        <is>
          <t>WTA 125</t>
        </is>
      </c>
      <c r="D9" t="inlineStr">
        <is>
          <t>ne</t>
        </is>
      </c>
      <c r="E9" t="inlineStr">
        <is>
          <t>Rovereto (Italy), hard (indoor)</t>
        </is>
      </c>
      <c r="F9" t="inlineStr">
        <is>
          <t>Siskova Anna</t>
        </is>
      </c>
      <c r="G9" t="inlineStr">
        <is>
          <t>Ruzic Antonia</t>
        </is>
      </c>
      <c r="H9" t="inlineStr">
        <is>
          <t>10bet</t>
        </is>
      </c>
      <c r="I9" t="n">
        <v>3.75</v>
      </c>
      <c r="J9" s="5" t="n">
        <v>0.2937939335965317</v>
      </c>
      <c r="K9" s="5" t="n">
        <v>0.101727250986994</v>
      </c>
      <c r="L9" s="5" t="n">
        <v>0.009247931907908543</v>
      </c>
      <c r="M9" s="6">
        <f>ROUND($B$1*L9,2)</f>
        <v/>
      </c>
      <c r="N9" t="n">
        <v>3.75</v>
      </c>
      <c r="O9" t="inlineStr"/>
      <c r="P9" s="6">
        <f>IF(O9="W",M9*(I9-1),IF(O9="L",-M9,IF(O9="V",0,"")))</f>
        <v/>
      </c>
      <c r="Q9" t="inlineStr">
        <is>
          <t>čeka</t>
        </is>
      </c>
    </row>
  </sheetData>
  <conditionalFormatting sqref="P4:P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COUNTA(Opklade!F4:F9)</f>
        <v/>
      </c>
    </row>
    <row r="3">
      <c r="A3" s="1" t="inlineStr">
        <is>
          <t>Završeno</t>
        </is>
      </c>
      <c r="B3">
        <f>COUNTIF(Opklade!O4:O9,"W")+COUNTIF(Opklade!O4:O9,"L")+COUNTIF(Opklade!O4:O9,"V")</f>
        <v/>
      </c>
    </row>
    <row r="4">
      <c r="A4" s="1" t="inlineStr">
        <is>
          <t>Dobijeno</t>
        </is>
      </c>
      <c r="B4">
        <f>COUNTIF(Opklade!O4:O9,"W")</f>
        <v/>
      </c>
    </row>
    <row r="5">
      <c r="A5" s="1" t="inlineStr">
        <is>
          <t>Izgubljeno</t>
        </is>
      </c>
      <c r="B5">
        <f>COUNTIF(Opklade!O4:O9,"L")</f>
        <v/>
      </c>
    </row>
    <row r="6">
      <c r="A6" s="1" t="inlineStr">
        <is>
          <t>Uloženo (završene)</t>
        </is>
      </c>
      <c r="B6">
        <f>SUMPRODUCT((Opklade!O4:O9="W")+(Opklade!O4:O9="L"),Opklade!M4:M9)</f>
        <v/>
      </c>
    </row>
    <row r="7">
      <c r="A7" s="1" t="inlineStr">
        <is>
          <t>Dobit</t>
        </is>
      </c>
      <c r="B7">
        <f>SUM(Opklade!P4:P9)</f>
        <v/>
      </c>
    </row>
    <row r="8">
      <c r="A8" s="1" t="inlineStr">
        <is>
          <t>ROI</t>
        </is>
      </c>
      <c r="B8" s="5">
        <f>IF(B6&gt;0,B7/B6,"")</f>
        <v/>
      </c>
    </row>
    <row r="9">
      <c r="A9" s="1" t="inlineStr">
        <is>
          <t>Banka sada</t>
        </is>
      </c>
      <c r="B9">
        <f>Opklade!B1+B7</f>
        <v/>
      </c>
    </row>
    <row r="10">
      <c r="A10" s="1" t="inlineStr">
        <is>
          <t>Samo plan (ženski ITF, muški Challenger/ITF) - dobit</t>
        </is>
      </c>
      <c r="B10">
        <f>SUMIF(Opklade!D4:D9,"DA*",Opklade!P4:P9)</f>
        <v/>
      </c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2026-10-11T08:14:35Z</dcterms:created>
  <dcterms:modified xmlns:dcterms="http://purl.org/dc/terms/" xmlns:xsi="http://www.w3.org/2001/XMLSchema-instance" xsi:type="dcterms:W3CDTF">2026-10-11T08:14:35Z</dcterms:modified>
</cp:coreProperties>
</file>