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klade" sheetId="1" state="visible" r:id="rId3"/>
    <sheet name="Van plana" sheetId="2" state="visible" r:id="rId4"/>
  </sheets>
  <definedNames>
    <definedName function="false" hidden="true" localSheetId="0" name="_xlnm._FilterDatabase" vbProcedure="false">Opklade!$A$5:$N$11</definedName>
    <definedName function="false" hidden="true" localSheetId="1" name="_xlnm._FilterDatabase" vbProcedure="false">'Van plana'!$A$5:$N$13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<sst xmlns="http://schemas.openxmlformats.org/spreadsheetml/2006/main" count="134" uniqueCount="72">
  <si>
    <t xml:space="preserve">Opklade</t>
  </si>
  <si>
    <t xml:space="preserve">Početna banka</t>
  </si>
  <si>
    <t xml:space="preserve">Banka sada</t>
  </si>
  <si>
    <t xml:space="preserve">Dobit</t>
  </si>
  <si>
    <t xml:space="preserve">ROI</t>
  </si>
  <si>
    <t xml:space="preserve">Dobijeno</t>
  </si>
  <si>
    <t xml:space="preserve">Izgubljeno</t>
  </si>
  <si>
    <t xml:space="preserve">#</t>
  </si>
  <si>
    <t xml:space="preserve">Početak</t>
  </si>
  <si>
    <t xml:space="preserve">Kategorija</t>
  </si>
  <si>
    <t xml:space="preserve">Turnir</t>
  </si>
  <si>
    <t xml:space="preserve">Igramo na</t>
  </si>
  <si>
    <t xml:space="preserve">Protivnik</t>
  </si>
  <si>
    <t xml:space="preserve">Kladionica</t>
  </si>
  <si>
    <t xml:space="preserve">Kvota</t>
  </si>
  <si>
    <t xml:space="preserve">Verovatnoća</t>
  </si>
  <si>
    <t xml:space="preserve">Prednost</t>
  </si>
  <si>
    <t xml:space="preserve">Ulog</t>
  </si>
  <si>
    <t xml:space="preserve">Rezultat</t>
  </si>
  <si>
    <t xml:space="preserve">Banka pri opkladi</t>
  </si>
  <si>
    <t xml:space="preserve">Kelly</t>
  </si>
  <si>
    <t xml:space="preserve">Upisano</t>
  </si>
  <si>
    <t xml:space="preserve">Obračunato</t>
  </si>
  <si>
    <t xml:space="preserve">Muški Challenger</t>
  </si>
  <si>
    <t xml:space="preserve">Catania (Italy) - Qualification, clay</t>
  </si>
  <si>
    <t xml:space="preserve">Jones Maximus</t>
  </si>
  <si>
    <t xml:space="preserve">Gima Sebastian</t>
  </si>
  <si>
    <t xml:space="preserve">Betway</t>
  </si>
  <si>
    <t xml:space="preserve">Roanne (France) - Qualification, hard (indoor)</t>
  </si>
  <si>
    <t xml:space="preserve">Paul Jakub</t>
  </si>
  <si>
    <t xml:space="preserve">Mcdonald Niels</t>
  </si>
  <si>
    <t xml:space="preserve">U toku</t>
  </si>
  <si>
    <t xml:space="preserve">Jinan (China), hard</t>
  </si>
  <si>
    <t xml:space="preserve">Kopriva Vit</t>
  </si>
  <si>
    <t xml:space="preserve">Kotov Pavel</t>
  </si>
  <si>
    <t xml:space="preserve">10bet</t>
  </si>
  <si>
    <t xml:space="preserve">Čeka</t>
  </si>
  <si>
    <t xml:space="preserve">Blanchet Ugo</t>
  </si>
  <si>
    <t xml:space="preserve">De Jonge Daniel</t>
  </si>
  <si>
    <t xml:space="preserve">Unibetuk</t>
  </si>
  <si>
    <t xml:space="preserve">Siniakov Daniel</t>
  </si>
  <si>
    <t xml:space="preserve">Vrba Jakub</t>
  </si>
  <si>
    <t xml:space="preserve">BetUK</t>
  </si>
  <si>
    <t xml:space="preserve">Olbia (Italy), hard</t>
  </si>
  <si>
    <t xml:space="preserve">Shelbayh Abedallah</t>
  </si>
  <si>
    <t xml:space="preserve">Guerrieri Andrea</t>
  </si>
  <si>
    <t xml:space="preserve">Paddy Power</t>
  </si>
  <si>
    <t xml:space="preserve">Van plana</t>
  </si>
  <si>
    <t xml:space="preserve">WTA 125</t>
  </si>
  <si>
    <t xml:space="preserve">Mallorca (Spain) - Qualification, clay</t>
  </si>
  <si>
    <t xml:space="preserve">Hesse Amandine</t>
  </si>
  <si>
    <t xml:space="preserve">Garcia Cid Maria</t>
  </si>
  <si>
    <t xml:space="preserve">Lisbon (Portugal) - Qualification, clay</t>
  </si>
  <si>
    <t xml:space="preserve">Cakarevic Sara</t>
  </si>
  <si>
    <t xml:space="preserve">Tsygourova Katerina</t>
  </si>
  <si>
    <t xml:space="preserve">Nagy Adrienn</t>
  </si>
  <si>
    <t xml:space="preserve">Voloshchuk Angelina</t>
  </si>
  <si>
    <t xml:space="preserve">Van Emst Sarah</t>
  </si>
  <si>
    <t xml:space="preserve">Serban Raluca Georgiana</t>
  </si>
  <si>
    <t xml:space="preserve">Rovereto (Italy), hard (indoor)</t>
  </si>
  <si>
    <t xml:space="preserve">Radivojevic Lola</t>
  </si>
  <si>
    <t xml:space="preserve">Kostovic Teodora</t>
  </si>
  <si>
    <t xml:space="preserve">Siskova Anna</t>
  </si>
  <si>
    <t xml:space="preserve">Ruzic Antonia</t>
  </si>
  <si>
    <t xml:space="preserve">Arango Emiliana</t>
  </si>
  <si>
    <t xml:space="preserve">Knutson Gabriela</t>
  </si>
  <si>
    <t xml:space="preserve">William Hill</t>
  </si>
  <si>
    <t xml:space="preserve">ATP Tour</t>
  </si>
  <si>
    <t xml:space="preserve">Shanghai (China), hard</t>
  </si>
  <si>
    <t xml:space="preserve">Paul Tommy</t>
  </si>
  <si>
    <t xml:space="preserve">Vacherot Valentin</t>
  </si>
  <si>
    <t xml:space="preserve">Skybet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</si>
</sst>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#,##0;[RED]\-#,##0"/>
    <numFmt numFmtId="167" formatCode="0.0%;[RED]\-0.0%"/>
    <numFmt numFmtId="168" formatCode="0"/>
    <numFmt numFmtId="169" formatCode="dd\.mm&quot;. &quot;hh:mm"/>
    <numFmt numFmtId="170" formatCode="@"/>
    <numFmt numFmtId="171" formatCode="0.00"/>
    <numFmt numFmtId="172" formatCode="0.0%"/>
    <numFmt numFmtId="173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3"/>
      <name val="Calibri"/>
      <family val="0"/>
      <charset val="1"/>
    </font>
    <font>
      <sz val="9"/>
      <color rgb="FF7B8794"/>
      <name val="Calibri"/>
      <family val="0"/>
      <charset val="1"/>
    </font>
    <font>
      <b val="true"/>
      <sz val="12"/>
      <color rgb="FF1F2933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F2933"/>
      <name val="Calibri"/>
      <family val="0"/>
      <charset val="1"/>
    </font>
    <font>
      <sz val="10"/>
      <color rgb="FF7B8794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3B48"/>
        <bgColor rgb="FF1F2933"/>
      </patternFill>
    </fill>
    <fill>
      <patternFill patternType="solid">
        <fgColor rgb="FFF5F7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F3B48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B8794"/>
          <bgColor rgb="FF000000"/>
        </patternFill>
      </fill>
    </dxf>
    <dxf>
      <font>
        <name val="Calibri"/>
        <charset val="1"/>
        <family val="0"/>
        <color rgb="FF1E7B34"/>
        <sz val="10"/>
      </font>
    </dxf>
    <dxf>
      <fill>
        <patternFill patternType="solid">
          <fgColor rgb="FF1E7B3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7B8794"/>
      <rgbColor rgb="FF9999FF"/>
      <rgbColor rgb="FF993366"/>
      <rgbColor rgb="FFF5F7F9"/>
      <rgbColor rgb="FFCCFFFF"/>
      <rgbColor rgb="FF660066"/>
      <rgbColor rgb="FFFF8080"/>
      <rgbColor rgb="FF0066CC"/>
      <rgbColor rgb="FFD9D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3"/>
      <rgbColor rgb="FF993300"/>
      <rgbColor rgb="FF993366"/>
      <rgbColor rgb="FF333399"/>
      <rgbColor rgb="FF2F3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B3+SUM($M$6:$M$11)</f>
        <v>98710</v>
      </c>
      <c r="D3" s="4" t="n">
        <f aca="false">SUM($M$6:$M$11)</f>
        <v>-1290</v>
      </c>
      <c r="E3" s="5" t="n">
        <f aca="false">IFERROR(SUM($M$6:$M$11)/(SUMIF($L$6:$L$11,"Dobijeno",$K$6:$K$11)+SUMIF($L$6:$L$11,"Izgubljeno",$K$6:$K$11)),"")</f>
        <v>-1</v>
      </c>
      <c r="F3" s="6" t="n">
        <f aca="false">COUNTA($E$6:$E$11)</f>
        <v>6</v>
      </c>
      <c r="G3" s="6" t="n">
        <f aca="false">COUNTIF($L$6:$L$11,"Dobijeno")</f>
        <v>0</v>
      </c>
      <c r="H3" s="6" t="n">
        <f aca="false">COUNTIF($L$6:$L$11,"Izgubljeno")</f>
        <v>1</v>
      </c>
    </row>
    <row r="5" customFormat="false" ht="19.5" hidden="false" customHeight="true" outlineLevel="0" collapsed="false">
      <c r="A5" s="7" t="s">
        <v>7</v>
      </c>
      <c r="B5" s="7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8" t="s">
        <v>14</v>
      </c>
      <c r="I5" s="8" t="s">
        <v>15</v>
      </c>
      <c r="J5" s="8" t="s">
        <v>16</v>
      </c>
      <c r="K5" s="8" t="s">
        <v>17</v>
      </c>
      <c r="L5" s="8" t="s">
        <v>18</v>
      </c>
      <c r="M5" s="8" t="s">
        <v>3</v>
      </c>
      <c r="N5" s="8" t="s">
        <v>19</v>
      </c>
      <c r="O5" s="8" t="s">
        <v>20</v>
      </c>
      <c r="P5" s="8" t="s">
        <v>21</v>
      </c>
      <c r="Q5" s="8" t="s">
        <v>22</v>
      </c>
    </row>
    <row r="6" customFormat="false" ht="18" hidden="false" customHeight="true" outlineLevel="0" collapsed="false">
      <c r="A6" s="9" t="n">
        <v>1</v>
      </c>
      <c r="B6" s="10" t="n">
        <v>46306.4583333333</v>
      </c>
      <c r="C6" s="11" t="s">
        <v>23</v>
      </c>
      <c r="D6" s="11" t="s">
        <v>24</v>
      </c>
      <c r="E6" s="11" t="s">
        <v>25</v>
      </c>
      <c r="F6" s="11" t="s">
        <v>26</v>
      </c>
      <c r="G6" s="11" t="s">
        <v>27</v>
      </c>
      <c r="H6" s="12" t="n">
        <v>2.6</v>
      </c>
      <c r="I6" s="13" t="n">
        <v>0.416358743710245</v>
      </c>
      <c r="J6" s="13" t="n">
        <v>0.0825327336466371</v>
      </c>
      <c r="K6" s="14" t="n">
        <f aca="false">ROUND(N6*O6,0)</f>
        <v>1290</v>
      </c>
      <c r="L6" s="15" t="s">
        <v>6</v>
      </c>
      <c r="M6" s="16" t="n">
        <f aca="false">IF(L6="Dobijeno",K6*(H6-1),IF(L6="Izgubljeno",-K6,IF(L6="Povraćaj",0,"")))</f>
        <v>-1290</v>
      </c>
      <c r="N6" s="14" t="n">
        <f aca="false">$B$3+SUMIFS($M$6:$M$11,$Q$6:$Q$11,"&lt;="&amp;P6)</f>
        <v>100000</v>
      </c>
      <c r="O6" s="17" t="n">
        <v>0.012895739632287</v>
      </c>
      <c r="P6" s="18" t="n">
        <v>46306.4289088845</v>
      </c>
      <c r="Q6" s="18" t="n">
        <v>46306.6161689815</v>
      </c>
    </row>
    <row r="7" customFormat="false" ht="18" hidden="false" customHeight="true" outlineLevel="0" collapsed="false">
      <c r="A7" s="19" t="n">
        <v>2</v>
      </c>
      <c r="B7" s="20" t="n">
        <v>46306.6041666667</v>
      </c>
      <c r="C7" s="21" t="s">
        <v>23</v>
      </c>
      <c r="D7" s="21" t="s">
        <v>28</v>
      </c>
      <c r="E7" s="21" t="s">
        <v>29</v>
      </c>
      <c r="F7" s="21" t="s">
        <v>30</v>
      </c>
      <c r="G7" s="21" t="s">
        <v>27</v>
      </c>
      <c r="H7" s="22" t="n">
        <v>1.95</v>
      </c>
      <c r="I7" s="23" t="n">
        <v>0.539150526411736</v>
      </c>
      <c r="J7" s="23" t="n">
        <v>0.0513435265028857</v>
      </c>
      <c r="K7" s="24" t="n">
        <f aca="false">ROUND(N7*O7,0)</f>
        <v>1351</v>
      </c>
      <c r="L7" s="25" t="s">
        <v>31</v>
      </c>
      <c r="M7" s="26" t="str">
        <f aca="false">IF(L7="Dobijeno",K7*(H7-1),IF(L7="Izgubljeno",-K7,IF(L7="Povraćaj",0,"")))</f>
        <v/>
      </c>
      <c r="N7" s="24" t="n">
        <f aca="false">$B$3+SUMIFS($M$6:$M$11,$Q$6:$Q$11,"&lt;="&amp;P7)</f>
        <v>100000</v>
      </c>
      <c r="O7" s="27" t="n">
        <v>0.0135114543428647</v>
      </c>
      <c r="P7" s="28" t="n">
        <v>46306.4518352299</v>
      </c>
      <c r="Q7" s="28"/>
    </row>
    <row r="8" customFormat="false" ht="18" hidden="false" customHeight="true" outlineLevel="0" collapsed="false">
      <c r="A8" s="9" t="n">
        <v>3</v>
      </c>
      <c r="B8" s="10" t="n">
        <v>46307.1666666667</v>
      </c>
      <c r="C8" s="11" t="s">
        <v>23</v>
      </c>
      <c r="D8" s="11" t="s">
        <v>32</v>
      </c>
      <c r="E8" s="11" t="s">
        <v>33</v>
      </c>
      <c r="F8" s="11" t="s">
        <v>34</v>
      </c>
      <c r="G8" s="11" t="s">
        <v>35</v>
      </c>
      <c r="H8" s="12" t="n">
        <v>2.75</v>
      </c>
      <c r="I8" s="13" t="n">
        <v>0.381847434531503</v>
      </c>
      <c r="J8" s="13" t="n">
        <v>0.0500804449616319</v>
      </c>
      <c r="K8" s="14" t="n">
        <f aca="false">ROUND(N8*O8,0)</f>
        <v>715</v>
      </c>
      <c r="L8" s="29" t="s">
        <v>36</v>
      </c>
      <c r="M8" s="16" t="str">
        <f aca="false">IF(L8="Dobijeno",K8*(H8-1),IF(L8="Izgubljeno",-K8,IF(L8="Povraćaj",0,"")))</f>
        <v/>
      </c>
      <c r="N8" s="14" t="n">
        <f aca="false">$B$3+SUMIFS($M$6:$M$11,$Q$6:$Q$11,"&lt;="&amp;P8)</f>
        <v>100000</v>
      </c>
      <c r="O8" s="17" t="n">
        <v>0.00715434928023313</v>
      </c>
      <c r="P8" s="18" t="n">
        <v>46306.4193930847</v>
      </c>
      <c r="Q8" s="18"/>
    </row>
    <row r="9" customFormat="false" ht="18" hidden="false" customHeight="true" outlineLevel="0" collapsed="false">
      <c r="A9" s="19" t="n">
        <v>4</v>
      </c>
      <c r="B9" s="20" t="n">
        <v>46307.4166666667</v>
      </c>
      <c r="C9" s="21" t="s">
        <v>23</v>
      </c>
      <c r="D9" s="21" t="s">
        <v>28</v>
      </c>
      <c r="E9" s="21" t="s">
        <v>37</v>
      </c>
      <c r="F9" s="21" t="s">
        <v>38</v>
      </c>
      <c r="G9" s="21" t="s">
        <v>39</v>
      </c>
      <c r="H9" s="22" t="n">
        <v>1.29</v>
      </c>
      <c r="I9" s="23" t="n">
        <v>0.816896359773539</v>
      </c>
      <c r="J9" s="23" t="n">
        <v>0.0537963041078651</v>
      </c>
      <c r="K9" s="24" t="n">
        <f aca="false">ROUND(N9*O9,0)</f>
        <v>4578</v>
      </c>
      <c r="L9" s="25" t="s">
        <v>36</v>
      </c>
      <c r="M9" s="26" t="str">
        <f aca="false">IF(L9="Dobijeno",K9*(H9-1),IF(L9="Izgubljeno",-K9,IF(L9="Povraćaj",0,"")))</f>
        <v/>
      </c>
      <c r="N9" s="24" t="n">
        <f aca="false">$B$3+SUMIFS($M$6:$M$11,$Q$6:$Q$11,"&lt;="&amp;P9)</f>
        <v>98710</v>
      </c>
      <c r="O9" s="27" t="n">
        <v>0.0463761242309182</v>
      </c>
      <c r="P9" s="28" t="n">
        <v>46306.6382215706</v>
      </c>
      <c r="Q9" s="28"/>
    </row>
    <row r="10" customFormat="false" ht="18" hidden="false" customHeight="true" outlineLevel="0" collapsed="false">
      <c r="A10" s="9" t="n">
        <v>5</v>
      </c>
      <c r="B10" s="10" t="n">
        <v>46307.4166666667</v>
      </c>
      <c r="C10" s="11" t="s">
        <v>23</v>
      </c>
      <c r="D10" s="11" t="s">
        <v>24</v>
      </c>
      <c r="E10" s="11" t="s">
        <v>40</v>
      </c>
      <c r="F10" s="11" t="s">
        <v>41</v>
      </c>
      <c r="G10" s="11" t="s">
        <v>42</v>
      </c>
      <c r="H10" s="12" t="n">
        <v>1.7</v>
      </c>
      <c r="I10" s="13" t="n">
        <v>0.626339161064468</v>
      </c>
      <c r="J10" s="13" t="n">
        <v>0.064776573809596</v>
      </c>
      <c r="K10" s="14" t="n">
        <f aca="false">ROUND(N10*O10,0)</f>
        <v>2284</v>
      </c>
      <c r="L10" s="29" t="s">
        <v>36</v>
      </c>
      <c r="M10" s="16" t="str">
        <f aca="false">IF(L10="Dobijeno",K10*(H10-1),IF(L10="Izgubljeno",-K10,IF(L10="Povraćaj",0,"")))</f>
        <v/>
      </c>
      <c r="N10" s="14" t="n">
        <f aca="false">$B$3+SUMIFS($M$6:$M$11,$Q$6:$Q$11,"&lt;="&amp;P10)</f>
        <v>98710</v>
      </c>
      <c r="O10" s="17" t="n">
        <v>0.0231344906462843</v>
      </c>
      <c r="P10" s="18" t="n">
        <v>46306.7348163256</v>
      </c>
      <c r="Q10" s="18"/>
    </row>
    <row r="11" customFormat="false" ht="18" hidden="false" customHeight="true" outlineLevel="0" collapsed="false">
      <c r="A11" s="19" t="n">
        <v>6</v>
      </c>
      <c r="B11" s="20" t="n">
        <v>46307.5833333333</v>
      </c>
      <c r="C11" s="21" t="s">
        <v>23</v>
      </c>
      <c r="D11" s="21" t="s">
        <v>43</v>
      </c>
      <c r="E11" s="21" t="s">
        <v>44</v>
      </c>
      <c r="F11" s="21" t="s">
        <v>45</v>
      </c>
      <c r="G11" s="21" t="s">
        <v>46</v>
      </c>
      <c r="H11" s="22" t="n">
        <v>1.91</v>
      </c>
      <c r="I11" s="23" t="n">
        <v>0.550436972176774</v>
      </c>
      <c r="J11" s="23" t="n">
        <v>0.0513346168576376</v>
      </c>
      <c r="K11" s="24" t="n">
        <f aca="false">ROUND(N11*O11,0)</f>
        <v>1392</v>
      </c>
      <c r="L11" s="25" t="s">
        <v>36</v>
      </c>
      <c r="M11" s="26" t="str">
        <f aca="false">IF(L11="Dobijeno",K11*(H11-1),IF(L11="Izgubljeno",-K11,IF(L11="Povraćaj",0,"")))</f>
        <v/>
      </c>
      <c r="N11" s="24" t="n">
        <f aca="false">$B$3+SUMIFS($M$6:$M$11,$Q$6:$Q$11,"&lt;="&amp;P11)</f>
        <v>98710</v>
      </c>
      <c r="O11" s="27" t="n">
        <v>0.0141029167191312</v>
      </c>
      <c r="P11" s="28" t="n">
        <v>46306.7348162756</v>
      </c>
      <c r="Q11" s="28"/>
    </row>
  </sheetData>
  <autoFilter ref="A5:N11"/>
  <conditionalFormatting sqref="M6:M11">
    <cfRule type="cellIs" priority="2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</cols>
  <sheetData>
    <row r="1" customFormat="false" ht="17.35" hidden="false" customHeight="false" outlineLevel="0" collapsed="false">
      <c r="A1" s="1" t="s">
        <v>47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B3+SUM($M$6:$M$13)</f>
        <v>102480.6</v>
      </c>
      <c r="D3" s="4" t="n">
        <f aca="false">SUM($M$6:$M$13)</f>
        <v>2480.6</v>
      </c>
      <c r="E3" s="5" t="n">
        <f aca="false">IFERROR(SUM($M$6:$M$13)/(SUMIF($L$6:$L$13,"Dobijeno",$K$6:$K$13)+SUMIF($L$6:$L$13,"Izgubljeno",$K$6:$K$13)),"")</f>
        <v>0.82003305785124</v>
      </c>
      <c r="F3" s="6" t="n">
        <f aca="false">COUNTA($E$6:$E$13)</f>
        <v>8</v>
      </c>
      <c r="G3" s="6" t="n">
        <f aca="false">COUNTIF($L$6:$L$13,"Dobijeno")</f>
        <v>2</v>
      </c>
      <c r="H3" s="6" t="n">
        <f aca="false">COUNTIF($L$6:$L$13,"Izgubljeno")</f>
        <v>1</v>
      </c>
    </row>
    <row r="5" customFormat="false" ht="19.5" hidden="false" customHeight="true" outlineLevel="0" collapsed="false">
      <c r="A5" s="7" t="s">
        <v>7</v>
      </c>
      <c r="B5" s="7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8" t="s">
        <v>14</v>
      </c>
      <c r="I5" s="8" t="s">
        <v>15</v>
      </c>
      <c r="J5" s="8" t="s">
        <v>16</v>
      </c>
      <c r="K5" s="8" t="s">
        <v>17</v>
      </c>
      <c r="L5" s="8" t="s">
        <v>18</v>
      </c>
      <c r="M5" s="8" t="s">
        <v>3</v>
      </c>
      <c r="N5" s="8" t="s">
        <v>19</v>
      </c>
      <c r="O5" s="8" t="s">
        <v>20</v>
      </c>
      <c r="P5" s="8" t="s">
        <v>21</v>
      </c>
      <c r="Q5" s="8" t="s">
        <v>22</v>
      </c>
    </row>
    <row r="6" customFormat="false" ht="18" hidden="false" customHeight="true" outlineLevel="0" collapsed="false">
      <c r="A6" s="9" t="n">
        <v>1</v>
      </c>
      <c r="B6" s="10" t="n">
        <v>46306.4201388889</v>
      </c>
      <c r="C6" s="11" t="s">
        <v>48</v>
      </c>
      <c r="D6" s="11" t="s">
        <v>49</v>
      </c>
      <c r="E6" s="11" t="s">
        <v>50</v>
      </c>
      <c r="F6" s="11" t="s">
        <v>51</v>
      </c>
      <c r="G6" s="11" t="s">
        <v>27</v>
      </c>
      <c r="H6" s="12" t="n">
        <v>2.6</v>
      </c>
      <c r="I6" s="13" t="n">
        <v>0.405215100539333</v>
      </c>
      <c r="J6" s="13" t="n">
        <v>0.0535592614022666</v>
      </c>
      <c r="K6" s="14" t="n">
        <f aca="false">ROUND(N6*O6,0)</f>
        <v>837</v>
      </c>
      <c r="L6" s="15" t="s">
        <v>6</v>
      </c>
      <c r="M6" s="16" t="n">
        <f aca="false">IF(L6="Dobijeno",K6*(H6-1),IF(L6="Izgubljeno",-K6,IF(L6="Povraćaj",0,"")))</f>
        <v>-837</v>
      </c>
      <c r="N6" s="14" t="n">
        <f aca="false">$B$3+SUMIFS($M$6:$M$13,$Q$6:$Q$13,"&lt;="&amp;P6)</f>
        <v>100000</v>
      </c>
      <c r="O6" s="17" t="n">
        <v>0.00836863459410416</v>
      </c>
      <c r="P6" s="18" t="n">
        <v>46306.419393116</v>
      </c>
      <c r="Q6" s="18" t="n">
        <v>46306.5451388889</v>
      </c>
    </row>
    <row r="7" customFormat="false" ht="18" hidden="false" customHeight="true" outlineLevel="0" collapsed="false">
      <c r="A7" s="19" t="n">
        <v>2</v>
      </c>
      <c r="B7" s="20" t="n">
        <v>46306.5625</v>
      </c>
      <c r="C7" s="21" t="s">
        <v>48</v>
      </c>
      <c r="D7" s="21" t="s">
        <v>52</v>
      </c>
      <c r="E7" s="21" t="s">
        <v>53</v>
      </c>
      <c r="F7" s="21" t="s">
        <v>54</v>
      </c>
      <c r="G7" s="21" t="s">
        <v>27</v>
      </c>
      <c r="H7" s="22" t="n">
        <v>3</v>
      </c>
      <c r="I7" s="23" t="n">
        <v>0.36031214808199</v>
      </c>
      <c r="J7" s="23" t="n">
        <v>0.0809364442459701</v>
      </c>
      <c r="K7" s="24" t="n">
        <f aca="false">ROUND(N7*O7,0)</f>
        <v>1012</v>
      </c>
      <c r="L7" s="30" t="s">
        <v>5</v>
      </c>
      <c r="M7" s="26" t="n">
        <f aca="false">IF(L7="Dobijeno",K7*(H7-1),IF(L7="Izgubljeno",-K7,IF(L7="Povraćaj",0,"")))</f>
        <v>2024</v>
      </c>
      <c r="N7" s="24" t="n">
        <f aca="false">$B$3+SUMIFS($M$6:$M$13,$Q$6:$Q$13,"&lt;="&amp;P7)</f>
        <v>100000</v>
      </c>
      <c r="O7" s="27" t="n">
        <v>0.0101170555307463</v>
      </c>
      <c r="P7" s="28" t="n">
        <v>46306.4193930555</v>
      </c>
      <c r="Q7" s="28" t="n">
        <v>46306.7348263889</v>
      </c>
    </row>
    <row r="8" customFormat="false" ht="18" hidden="false" customHeight="true" outlineLevel="0" collapsed="false">
      <c r="A8" s="9" t="n">
        <v>3</v>
      </c>
      <c r="B8" s="10" t="n">
        <v>46306.5625</v>
      </c>
      <c r="C8" s="11" t="s">
        <v>48</v>
      </c>
      <c r="D8" s="11" t="s">
        <v>52</v>
      </c>
      <c r="E8" s="11" t="s">
        <v>55</v>
      </c>
      <c r="F8" s="11" t="s">
        <v>56</v>
      </c>
      <c r="G8" s="11" t="s">
        <v>27</v>
      </c>
      <c r="H8" s="12" t="n">
        <v>2.1</v>
      </c>
      <c r="I8" s="13" t="n">
        <v>0.500827758854233</v>
      </c>
      <c r="J8" s="13" t="n">
        <v>0.0517382935938902</v>
      </c>
      <c r="K8" s="14" t="n">
        <f aca="false">ROUND(N8*O8,0)</f>
        <v>1176</v>
      </c>
      <c r="L8" s="15" t="s">
        <v>5</v>
      </c>
      <c r="M8" s="16" t="n">
        <f aca="false">IF(L8="Dobijeno",K8*(H8-1),IF(L8="Izgubljeno",-K8,IF(L8="Povraćaj",0,"")))</f>
        <v>1293.6</v>
      </c>
      <c r="N8" s="14" t="n">
        <f aca="false">$B$3+SUMIFS($M$6:$M$13,$Q$6:$Q$13,"&lt;="&amp;P8)</f>
        <v>100000</v>
      </c>
      <c r="O8" s="17" t="n">
        <v>0.0117587030895205</v>
      </c>
      <c r="P8" s="18" t="n">
        <v>46306.4193931489</v>
      </c>
      <c r="Q8" s="18" t="n">
        <v>46306.7348263889</v>
      </c>
    </row>
    <row r="9" customFormat="false" ht="18" hidden="false" customHeight="true" outlineLevel="0" collapsed="false">
      <c r="A9" s="19" t="n">
        <v>4</v>
      </c>
      <c r="B9" s="20" t="n">
        <v>46306.625</v>
      </c>
      <c r="C9" s="21" t="s">
        <v>48</v>
      </c>
      <c r="D9" s="21" t="s">
        <v>52</v>
      </c>
      <c r="E9" s="21" t="s">
        <v>57</v>
      </c>
      <c r="F9" s="21" t="s">
        <v>58</v>
      </c>
      <c r="G9" s="21" t="s">
        <v>27</v>
      </c>
      <c r="H9" s="22" t="n">
        <v>1.95</v>
      </c>
      <c r="I9" s="23" t="n">
        <v>0.557839596951955</v>
      </c>
      <c r="J9" s="23" t="n">
        <v>0.087787214056313</v>
      </c>
      <c r="K9" s="24" t="n">
        <f aca="false">ROUND(N9*O9,0)</f>
        <v>2310</v>
      </c>
      <c r="L9" s="25" t="s">
        <v>31</v>
      </c>
      <c r="M9" s="26" t="str">
        <f aca="false">IF(L9="Dobijeno",K9*(H9-1),IF(L9="Izgubljeno",-K9,IF(L9="Povraćaj",0,"")))</f>
        <v/>
      </c>
      <c r="N9" s="24" t="n">
        <f aca="false">$B$3+SUMIFS($M$6:$M$13,$Q$6:$Q$13,"&lt;="&amp;P9)</f>
        <v>100000</v>
      </c>
      <c r="O9" s="27" t="n">
        <v>0.0231018984358718</v>
      </c>
      <c r="P9" s="28" t="n">
        <v>46306.4326800874</v>
      </c>
      <c r="Q9" s="28"/>
    </row>
    <row r="10" customFormat="false" ht="18" hidden="false" customHeight="true" outlineLevel="0" collapsed="false">
      <c r="A10" s="9" t="n">
        <v>5</v>
      </c>
      <c r="B10" s="10" t="n">
        <v>46307.4166666667</v>
      </c>
      <c r="C10" s="11" t="s">
        <v>48</v>
      </c>
      <c r="D10" s="11" t="s">
        <v>59</v>
      </c>
      <c r="E10" s="11" t="s">
        <v>60</v>
      </c>
      <c r="F10" s="11" t="s">
        <v>61</v>
      </c>
      <c r="G10" s="11" t="s">
        <v>46</v>
      </c>
      <c r="H10" s="12" t="n">
        <v>4.33</v>
      </c>
      <c r="I10" s="13" t="n">
        <v>0.247111713760222</v>
      </c>
      <c r="J10" s="13" t="n">
        <v>0.0699937205817622</v>
      </c>
      <c r="K10" s="14" t="n">
        <f aca="false">ROUND(N10*O10,0)</f>
        <v>525</v>
      </c>
      <c r="L10" s="29" t="s">
        <v>36</v>
      </c>
      <c r="M10" s="16" t="str">
        <f aca="false">IF(L10="Dobijeno",K10*(H10-1),IF(L10="Izgubljeno",-K10,IF(L10="Povraćaj",0,"")))</f>
        <v/>
      </c>
      <c r="N10" s="14" t="n">
        <f aca="false">$B$3+SUMIFS($M$6:$M$13,$Q$6:$Q$13,"&lt;="&amp;P10)</f>
        <v>100000</v>
      </c>
      <c r="O10" s="17" t="n">
        <v>0.00525478382745963</v>
      </c>
      <c r="P10" s="18" t="n">
        <v>46306.4193929975</v>
      </c>
      <c r="Q10" s="18"/>
    </row>
    <row r="11" customFormat="false" ht="18" hidden="false" customHeight="true" outlineLevel="0" collapsed="false">
      <c r="A11" s="19" t="n">
        <v>6</v>
      </c>
      <c r="B11" s="20" t="n">
        <v>46307.4166666667</v>
      </c>
      <c r="C11" s="21" t="s">
        <v>48</v>
      </c>
      <c r="D11" s="21" t="s">
        <v>59</v>
      </c>
      <c r="E11" s="21" t="s">
        <v>62</v>
      </c>
      <c r="F11" s="21" t="s">
        <v>63</v>
      </c>
      <c r="G11" s="21" t="s">
        <v>35</v>
      </c>
      <c r="H11" s="22" t="n">
        <v>3.75</v>
      </c>
      <c r="I11" s="23" t="n">
        <v>0.293793933596532</v>
      </c>
      <c r="J11" s="23" t="n">
        <v>0.101727250986994</v>
      </c>
      <c r="K11" s="24" t="n">
        <f aca="false">ROUND(N11*O11,0)</f>
        <v>925</v>
      </c>
      <c r="L11" s="25" t="s">
        <v>36</v>
      </c>
      <c r="M11" s="26" t="str">
        <f aca="false">IF(L11="Dobijeno",K11*(H11-1),IF(L11="Izgubljeno",-K11,IF(L11="Povraćaj",0,"")))</f>
        <v/>
      </c>
      <c r="N11" s="24" t="n">
        <f aca="false">$B$3+SUMIFS($M$6:$M$13,$Q$6:$Q$13,"&lt;="&amp;P11)</f>
        <v>100000</v>
      </c>
      <c r="O11" s="27" t="n">
        <v>0.00924793190790854</v>
      </c>
      <c r="P11" s="28" t="n">
        <v>46306.4193930267</v>
      </c>
      <c r="Q11" s="28"/>
    </row>
    <row r="12" customFormat="false" ht="18" hidden="false" customHeight="true" outlineLevel="0" collapsed="false">
      <c r="A12" s="9" t="n">
        <v>7</v>
      </c>
      <c r="B12" s="10" t="n">
        <v>46307.4166666667</v>
      </c>
      <c r="C12" s="11" t="s">
        <v>48</v>
      </c>
      <c r="D12" s="11" t="s">
        <v>59</v>
      </c>
      <c r="E12" s="11" t="s">
        <v>64</v>
      </c>
      <c r="F12" s="11" t="s">
        <v>65</v>
      </c>
      <c r="G12" s="11" t="s">
        <v>66</v>
      </c>
      <c r="H12" s="12" t="n">
        <v>1.95</v>
      </c>
      <c r="I12" s="13" t="n">
        <v>0.56820846900657</v>
      </c>
      <c r="J12" s="13" t="n">
        <v>0.108006514562812</v>
      </c>
      <c r="K12" s="14" t="n">
        <f aca="false">ROUND(N12*O12,0)</f>
        <v>2842</v>
      </c>
      <c r="L12" s="29" t="s">
        <v>36</v>
      </c>
      <c r="M12" s="16" t="str">
        <f aca="false">IF(L12="Dobijeno",K12*(H12-1),IF(L12="Izgubljeno",-K12,IF(L12="Povraćaj",0,"")))</f>
        <v/>
      </c>
      <c r="N12" s="14" t="n">
        <f aca="false">$B$3+SUMIFS($M$6:$M$13,$Q$6:$Q$13,"&lt;="&amp;P12)</f>
        <v>100000</v>
      </c>
      <c r="O12" s="17" t="n">
        <v>0.0284227669902136</v>
      </c>
      <c r="P12" s="18" t="n">
        <v>46306.432680161</v>
      </c>
      <c r="Q12" s="18"/>
    </row>
    <row r="13" customFormat="false" ht="18" hidden="false" customHeight="true" outlineLevel="0" collapsed="false">
      <c r="A13" s="19" t="n">
        <v>8</v>
      </c>
      <c r="B13" s="20" t="n">
        <v>46307.5625</v>
      </c>
      <c r="C13" s="21" t="s">
        <v>67</v>
      </c>
      <c r="D13" s="21" t="s">
        <v>68</v>
      </c>
      <c r="E13" s="21" t="s">
        <v>69</v>
      </c>
      <c r="F13" s="21" t="s">
        <v>70</v>
      </c>
      <c r="G13" s="21" t="s">
        <v>71</v>
      </c>
      <c r="H13" s="22" t="n">
        <v>1.67</v>
      </c>
      <c r="I13" s="23" t="n">
        <v>0.63137116329942</v>
      </c>
      <c r="J13" s="23" t="n">
        <v>0.0543898427100313</v>
      </c>
      <c r="K13" s="24" t="n">
        <f aca="false">ROUND(N13*O13,0)</f>
        <v>2029</v>
      </c>
      <c r="L13" s="25" t="s">
        <v>36</v>
      </c>
      <c r="M13" s="26" t="str">
        <f aca="false">IF(L13="Dobijeno",K13*(H13-1),IF(L13="Izgubljeno",-K13,IF(L13="Povraćaj",0,"")))</f>
        <v/>
      </c>
      <c r="N13" s="24" t="n">
        <f aca="false">$B$3+SUMIFS($M$6:$M$13,$Q$6:$Q$13,"&lt;="&amp;P13)</f>
        <v>100000</v>
      </c>
      <c r="O13" s="27" t="n">
        <v>0.0202947174291162</v>
      </c>
      <c r="P13" s="28" t="n">
        <v>46306.4326802327</v>
      </c>
      <c r="Q13" s="28"/>
    </row>
  </sheetData>
  <autoFilter ref="A5:N13"/>
  <conditionalFormatting sqref="M6:M13">
    <cfRule type="cellIs" priority="2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2026-10-11T15:42:12Z</dcterms:created>
  <dc:creator>openpyxl</dc:creator>
  <dc:description/>
  <dc:language>en-US</dc:language>
  <cp:lastModifiedBy/>
  <dcterms:modified xsi:type="dcterms:W3CDTF">2026-10-11T15:42:12Z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