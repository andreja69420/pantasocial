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Opklade!$A$5:$N$12</definedName>
    <definedName function="false" hidden="true" localSheetId="1" name="_xlnm._FilterDatabase" vbProcedure="false">'Van plana'!$A$5:$N$14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<sst xmlns="http://schemas.openxmlformats.org/spreadsheetml/2006/main" count="146" uniqueCount="77">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</sst>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ill>
        <patternFill patternType="solid">
          <fgColor rgb="FF1E7B3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B3+SUM($M$6:$M$12)</f>
        <v>98710</v>
      </c>
      <c r="D3" s="4" t="n">
        <f aca="false">SUM($M$6:$M$12)</f>
        <v>-1290</v>
      </c>
      <c r="E3" s="5" t="n">
        <f aca="false">IFERROR(SUM($M$6:$M$12)/(SUMIF($L$6:$L$12,"Dobijeno",$K$6:$K$12)+SUMIF($L$6:$L$12,"Izgubljeno",$K$6:$K$12)),"")</f>
        <v>-1</v>
      </c>
      <c r="F3" s="6" t="n">
        <f aca="false">COUNTA($E$6:$E$12)</f>
        <v>7</v>
      </c>
      <c r="G3" s="6" t="n">
        <f aca="false">COUNTIF($L$6:$L$12,"Dobijeno")</f>
        <v>0</v>
      </c>
      <c r="H3" s="6" t="n">
        <f aca="false">COUNTIF($L$6:$L$12,"Izgubljeno")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23</v>
      </c>
      <c r="D6" s="11" t="s">
        <v>24</v>
      </c>
      <c r="E6" s="11" t="s">
        <v>25</v>
      </c>
      <c r="F6" s="11" t="s">
        <v>26</v>
      </c>
      <c r="G6" s="11" t="s">
        <v>27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$B$3+SUMIFS($M$6:$M$12,$Q$6:$Q$12,"&lt;="&amp;P6)</f>
        <v>100000</v>
      </c>
      <c r="O6" s="17" t="n">
        <v>0.012895739632287</v>
      </c>
      <c r="P6" s="18" t="n">
        <v>46306.4289088845</v>
      </c>
      <c r="Q6" s="18" t="n">
        <v>46306.6161689815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23</v>
      </c>
      <c r="D7" s="21" t="s">
        <v>28</v>
      </c>
      <c r="E7" s="21" t="s">
        <v>29</v>
      </c>
      <c r="F7" s="21" t="s">
        <v>30</v>
      </c>
      <c r="G7" s="21" t="s">
        <v>27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31</v>
      </c>
      <c r="M7" s="26" t="str">
        <f aca="false">IF(L7="Dobijeno",K7*(H7-1),IF(L7="Izgubljeno",-K7,IF(L7="Povraćaj",0,"")))</f>
        <v/>
      </c>
      <c r="N7" s="24" t="n">
        <f aca="false">$B$3+SUMIFS($M$6:$M$12,$Q$6:$Q$12,"&lt;="&amp;P7)</f>
        <v>100000</v>
      </c>
      <c r="O7" s="27" t="n">
        <v>0.0135114543428647</v>
      </c>
      <c r="P7" s="28" t="n">
        <v>46306.4518352299</v>
      </c>
      <c r="Q7" s="28"/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23</v>
      </c>
      <c r="D8" s="11" t="s">
        <v>32</v>
      </c>
      <c r="E8" s="11" t="s">
        <v>33</v>
      </c>
      <c r="F8" s="11" t="s">
        <v>34</v>
      </c>
      <c r="G8" s="11" t="s">
        <v>35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36</v>
      </c>
      <c r="M8" s="16" t="str">
        <f aca="false">IF(L8="Dobijeno",K8*(H8-1),IF(L8="Izgubljeno",-K8,IF(L8="Povraćaj",0,"")))</f>
        <v/>
      </c>
      <c r="N8" s="14" t="n">
        <f aca="false">$B$3+SUMIFS($M$6:$M$12,$Q$6:$Q$12,"&lt;="&amp;P8)</f>
        <v>100000</v>
      </c>
      <c r="O8" s="17" t="n">
        <v>0.00715434928023313</v>
      </c>
      <c r="P8" s="18" t="n">
        <v>46306.4193930847</v>
      </c>
      <c r="Q8" s="18"/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23</v>
      </c>
      <c r="D9" s="21" t="s">
        <v>28</v>
      </c>
      <c r="E9" s="21" t="s">
        <v>37</v>
      </c>
      <c r="F9" s="21" t="s">
        <v>38</v>
      </c>
      <c r="G9" s="21" t="s">
        <v>39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25" t="s">
        <v>36</v>
      </c>
      <c r="M9" s="26" t="str">
        <f aca="false">IF(L9="Dobijeno",K9*(H9-1),IF(L9="Izgubljeno",-K9,IF(L9="Povraćaj",0,"")))</f>
        <v/>
      </c>
      <c r="N9" s="24" t="n">
        <f aca="false">$B$3+SUMIFS($M$6:$M$12,$Q$6:$Q$12,"&lt;="&amp;P9)</f>
        <v>98710</v>
      </c>
      <c r="O9" s="27" t="n">
        <v>0.0463761242309182</v>
      </c>
      <c r="P9" s="28" t="n">
        <v>46306.6382215706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23</v>
      </c>
      <c r="D10" s="11" t="s">
        <v>24</v>
      </c>
      <c r="E10" s="11" t="s">
        <v>40</v>
      </c>
      <c r="F10" s="11" t="s">
        <v>41</v>
      </c>
      <c r="G10" s="11" t="s">
        <v>42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$B$3+SUMIFS($M$6:$M$12,$Q$6:$Q$12,"&lt;="&amp;P10)</f>
        <v>98710</v>
      </c>
      <c r="O10" s="17" t="n">
        <v>0.0231344906462843</v>
      </c>
      <c r="P10" s="18" t="n">
        <v>46306.7348163256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23</v>
      </c>
      <c r="D11" s="21" t="s">
        <v>28</v>
      </c>
      <c r="E11" s="21" t="s">
        <v>43</v>
      </c>
      <c r="F11" s="21" t="s">
        <v>44</v>
      </c>
      <c r="G11" s="21" t="s">
        <v>45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$B$3+SUMIFS($M$6:$M$12,$Q$6:$Q$12,"&lt;="&amp;P11)</f>
        <v>98710</v>
      </c>
      <c r="O11" s="27" t="n">
        <v>0.0396046771127959</v>
      </c>
      <c r="P11" s="28" t="n">
        <v>46306.7408452174</v>
      </c>
      <c r="Q11" s="28"/>
    </row>
    <row r="12" customFormat="false" ht="18" hidden="false" customHeight="true" outlineLevel="0" collapsed="false">
      <c r="A12" s="9" t="n">
        <v>7</v>
      </c>
      <c r="B12" s="10" t="n">
        <v>46307.5833333333</v>
      </c>
      <c r="C12" s="11" t="s">
        <v>23</v>
      </c>
      <c r="D12" s="11" t="s">
        <v>46</v>
      </c>
      <c r="E12" s="11" t="s">
        <v>47</v>
      </c>
      <c r="F12" s="11" t="s">
        <v>48</v>
      </c>
      <c r="G12" s="11" t="s">
        <v>49</v>
      </c>
      <c r="H12" s="12" t="n">
        <v>1.91</v>
      </c>
      <c r="I12" s="13" t="n">
        <v>0.550436972176774</v>
      </c>
      <c r="J12" s="13" t="n">
        <v>0.0513346168576376</v>
      </c>
      <c r="K12" s="14" t="n">
        <f aca="false">ROUND(N12*O12,0)</f>
        <v>1392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$B$3+SUMIFS($M$6:$M$12,$Q$6:$Q$12,"&lt;="&amp;P12)</f>
        <v>98710</v>
      </c>
      <c r="O12" s="17" t="n">
        <v>0.0141029167191312</v>
      </c>
      <c r="P12" s="18" t="n">
        <v>46306.7348162756</v>
      </c>
      <c r="Q12" s="18"/>
    </row>
  </sheetData>
  <autoFilter ref="A5:N12"/>
  <conditionalFormatting sqref="M6:M12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B3+SUM($M$6:$M$14)</f>
        <v>102480.6</v>
      </c>
      <c r="D3" s="4" t="n">
        <f aca="false">SUM($M$6:$M$14)</f>
        <v>2480.6</v>
      </c>
      <c r="E3" s="5" t="n">
        <f aca="false">IFERROR(SUM($M$6:$M$14)/(SUMIF($L$6:$L$14,"Dobijeno",$K$6:$K$14)+SUMIF($L$6:$L$14,"Izgubljeno",$K$6:$K$14)),"")</f>
        <v>0.82003305785124</v>
      </c>
      <c r="F3" s="6" t="n">
        <f aca="false">COUNTA($E$6:$E$14)</f>
        <v>9</v>
      </c>
      <c r="G3" s="6" t="n">
        <f aca="false">COUNTIF($L$6:$L$14,"Dobijeno")</f>
        <v>2</v>
      </c>
      <c r="H3" s="6" t="n">
        <f aca="false">COUNTIF($L$6:$L$14,"Izgubljeno")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51</v>
      </c>
      <c r="D6" s="11" t="s">
        <v>52</v>
      </c>
      <c r="E6" s="11" t="s">
        <v>53</v>
      </c>
      <c r="F6" s="11" t="s">
        <v>54</v>
      </c>
      <c r="G6" s="11" t="s">
        <v>27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$B$3+SUMIFS($M$6:$M$14,$Q$6:$Q$14,"&lt;="&amp;P6)</f>
        <v>100000</v>
      </c>
      <c r="O6" s="17" t="n">
        <v>0.00836863459410416</v>
      </c>
      <c r="P6" s="18" t="n">
        <v>46306.419393116</v>
      </c>
      <c r="Q6" s="18" t="n">
        <v>46306.5451388889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51</v>
      </c>
      <c r="D7" s="21" t="s">
        <v>55</v>
      </c>
      <c r="E7" s="21" t="s">
        <v>56</v>
      </c>
      <c r="F7" s="21" t="s">
        <v>57</v>
      </c>
      <c r="G7" s="21" t="s">
        <v>27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30" t="s">
        <v>5</v>
      </c>
      <c r="M7" s="26" t="n">
        <f aca="false">IF(L7="Dobijeno",K7*(H7-1),IF(L7="Izgubljeno",-K7,IF(L7="Povraćaj",0,"")))</f>
        <v>2024</v>
      </c>
      <c r="N7" s="24" t="n">
        <f aca="false">$B$3+SUMIFS($M$6:$M$14,$Q$6:$Q$14,"&lt;="&amp;P7)</f>
        <v>100000</v>
      </c>
      <c r="O7" s="27" t="n">
        <v>0.0101170555307463</v>
      </c>
      <c r="P7" s="28" t="n">
        <v>46306.4193930555</v>
      </c>
      <c r="Q7" s="28" t="n">
        <v>46306.7348263889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51</v>
      </c>
      <c r="D8" s="11" t="s">
        <v>55</v>
      </c>
      <c r="E8" s="11" t="s">
        <v>58</v>
      </c>
      <c r="F8" s="11" t="s">
        <v>59</v>
      </c>
      <c r="G8" s="11" t="s">
        <v>27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$B$3+SUMIFS($M$6:$M$14,$Q$6:$Q$14,"&lt;="&amp;P8)</f>
        <v>100000</v>
      </c>
      <c r="O8" s="17" t="n">
        <v>0.0117587030895205</v>
      </c>
      <c r="P8" s="18" t="n">
        <v>46306.4193931489</v>
      </c>
      <c r="Q8" s="18" t="n">
        <v>46306.7348263889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51</v>
      </c>
      <c r="D9" s="21" t="s">
        <v>55</v>
      </c>
      <c r="E9" s="21" t="s">
        <v>60</v>
      </c>
      <c r="F9" s="21" t="s">
        <v>61</v>
      </c>
      <c r="G9" s="21" t="s">
        <v>27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31</v>
      </c>
      <c r="M9" s="26" t="str">
        <f aca="false">IF(L9="Dobijeno",K9*(H9-1),IF(L9="Izgubljeno",-K9,IF(L9="Povraćaj",0,"")))</f>
        <v/>
      </c>
      <c r="N9" s="24" t="n">
        <f aca="false">$B$3+SUMIFS($M$6:$M$14,$Q$6:$Q$14,"&lt;="&amp;P9)</f>
        <v>100000</v>
      </c>
      <c r="O9" s="27" t="n">
        <v>0.0231018984358718</v>
      </c>
      <c r="P9" s="28" t="n">
        <v>46306.4326800874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51</v>
      </c>
      <c r="D10" s="11" t="s">
        <v>62</v>
      </c>
      <c r="E10" s="11" t="s">
        <v>63</v>
      </c>
      <c r="F10" s="11" t="s">
        <v>64</v>
      </c>
      <c r="G10" s="11" t="s">
        <v>49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$B$3+SUMIFS($M$6:$M$14,$Q$6:$Q$14,"&lt;="&amp;P10)</f>
        <v>100000</v>
      </c>
      <c r="O10" s="17" t="n">
        <v>0.00525478382745963</v>
      </c>
      <c r="P10" s="18" t="n">
        <v>46306.4193929975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51</v>
      </c>
      <c r="D11" s="21" t="s">
        <v>62</v>
      </c>
      <c r="E11" s="21" t="s">
        <v>65</v>
      </c>
      <c r="F11" s="21" t="s">
        <v>66</v>
      </c>
      <c r="G11" s="21" t="s">
        <v>35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$B$3+SUMIFS($M$6:$M$14,$Q$6:$Q$14,"&lt;="&amp;P11)</f>
        <v>100000</v>
      </c>
      <c r="O11" s="27" t="n">
        <v>0.00924793190790854</v>
      </c>
      <c r="P11" s="28" t="n">
        <v>46306.4193930267</v>
      </c>
      <c r="Q11" s="28"/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51</v>
      </c>
      <c r="D12" s="11" t="s">
        <v>62</v>
      </c>
      <c r="E12" s="11" t="s">
        <v>67</v>
      </c>
      <c r="F12" s="11" t="s">
        <v>68</v>
      </c>
      <c r="G12" s="11" t="s">
        <v>69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$B$3+SUMIFS($M$6:$M$14,$Q$6:$Q$14,"&lt;="&amp;P12)</f>
        <v>100000</v>
      </c>
      <c r="O12" s="17" t="n">
        <v>0.0284227669902136</v>
      </c>
      <c r="P12" s="18" t="n">
        <v>46306.432680161</v>
      </c>
      <c r="Q12" s="18"/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51</v>
      </c>
      <c r="D13" s="21" t="s">
        <v>52</v>
      </c>
      <c r="E13" s="21" t="s">
        <v>70</v>
      </c>
      <c r="F13" s="21" t="s">
        <v>54</v>
      </c>
      <c r="G13" s="21" t="s">
        <v>71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25" t="s">
        <v>36</v>
      </c>
      <c r="M13" s="26" t="str">
        <f aca="false">IF(L13="Dobijeno",K13*(H13-1),IF(L13="Izgubljeno",-K13,IF(L13="Povraćaj",0,"")))</f>
        <v/>
      </c>
      <c r="N13" s="24" t="n">
        <f aca="false">$B$3+SUMIFS($M$6:$M$14,$Q$6:$Q$14,"&lt;="&amp;P13)</f>
        <v>102480.6</v>
      </c>
      <c r="O13" s="27" t="n">
        <v>0.00562924939662131</v>
      </c>
      <c r="P13" s="28" t="n">
        <v>46306.74084516</v>
      </c>
      <c r="Q13" s="28"/>
    </row>
    <row r="14" customFormat="false" ht="18" hidden="false" customHeight="true" outlineLevel="0" collapsed="false">
      <c r="A14" s="9" t="n">
        <v>9</v>
      </c>
      <c r="B14" s="10" t="n">
        <v>46307.5625</v>
      </c>
      <c r="C14" s="11" t="s">
        <v>72</v>
      </c>
      <c r="D14" s="11" t="s">
        <v>73</v>
      </c>
      <c r="E14" s="11" t="s">
        <v>74</v>
      </c>
      <c r="F14" s="11" t="s">
        <v>75</v>
      </c>
      <c r="G14" s="11" t="s">
        <v>76</v>
      </c>
      <c r="H14" s="12" t="n">
        <v>1.67</v>
      </c>
      <c r="I14" s="13" t="n">
        <v>0.63137116329942</v>
      </c>
      <c r="J14" s="13" t="n">
        <v>0.0543898427100313</v>
      </c>
      <c r="K14" s="14" t="n">
        <f aca="false">ROUND(N14*O14,0)</f>
        <v>2029</v>
      </c>
      <c r="L14" s="29" t="s">
        <v>36</v>
      </c>
      <c r="M14" s="16" t="str">
        <f aca="false">IF(L14="Dobijeno",K14*(H14-1),IF(L14="Izgubljeno",-K14,IF(L14="Povraćaj",0,"")))</f>
        <v/>
      </c>
      <c r="N14" s="14" t="n">
        <f aca="false">$B$3+SUMIFS($M$6:$M$14,$Q$6:$Q$14,"&lt;="&amp;P14)</f>
        <v>100000</v>
      </c>
      <c r="O14" s="17" t="n">
        <v>0.0202947174291162</v>
      </c>
      <c r="P14" s="18" t="n">
        <v>46306.4326802327</v>
      </c>
      <c r="Q14" s="18"/>
    </row>
  </sheetData>
  <autoFilter ref="A5:N14"/>
  <conditionalFormatting sqref="M6:M14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2026-10-11T16:10:15Z</dcterms:created>
  <dc:creator>openpyxl</dc:creator>
  <dc:description/>
  <dc:language>en-US</dc:language>
  <cp:lastModifiedBy/>
  <dcterms:modified xsi:type="dcterms:W3CDTF">2026-10-11T16:10:15Z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