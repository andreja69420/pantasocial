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klade" sheetId="1" state="visible" r:id="rId3"/>
    <sheet name="Po kategorijama" sheetId="2" state="visible" r:id="rId4"/>
  </sheets>
  <definedNames>
    <definedName function="false" hidden="true" localSheetId="0" name="_xlnm._FilterDatabase" vbProcedure="false">Opklade!$A$5:$R$30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<sst xmlns="http://schemas.openxmlformats.org/spreadsheetml/2006/main" count="216" uniqueCount="108">
  <si>
    <t xml:space="preserve">Opklade</t>
  </si>
  <si>
    <t xml:space="preserve">Početna banka</t>
  </si>
  <si>
    <t xml:space="preserve">Banka sada</t>
  </si>
  <si>
    <t xml:space="preserve">Dobit</t>
  </si>
  <si>
    <t xml:space="preserve">ROI</t>
  </si>
  <si>
    <t xml:space="preserve">Dobijeno</t>
  </si>
  <si>
    <t xml:space="preserve">Izgubljeno</t>
  </si>
  <si>
    <t xml:space="preserve">#</t>
  </si>
  <si>
    <t xml:space="preserve">Početak</t>
  </si>
  <si>
    <t xml:space="preserve">Kategorija</t>
  </si>
  <si>
    <t xml:space="preserve">Turnir</t>
  </si>
  <si>
    <t xml:space="preserve">Igramo na</t>
  </si>
  <si>
    <t xml:space="preserve">Protivnik</t>
  </si>
  <si>
    <t xml:space="preserve">Kladionica</t>
  </si>
  <si>
    <t xml:space="preserve">Kvota</t>
  </si>
  <si>
    <t xml:space="preserve">Verovatnoća</t>
  </si>
  <si>
    <t xml:space="preserve">Prednost</t>
  </si>
  <si>
    <t xml:space="preserve">Ulog</t>
  </si>
  <si>
    <t xml:space="preserve">Rezultat</t>
  </si>
  <si>
    <t xml:space="preserve">Banka pri opkladi</t>
  </si>
  <si>
    <t xml:space="preserve">Kelly</t>
  </si>
  <si>
    <t xml:space="preserve">Upisano</t>
  </si>
  <si>
    <t xml:space="preserve">Obračunato</t>
  </si>
  <si>
    <t xml:space="preserve">Model</t>
  </si>
  <si>
    <t xml:space="preserve">WTA 125</t>
  </si>
  <si>
    <t xml:space="preserve">Mallorca (Spain) - Qualification, clay</t>
  </si>
  <si>
    <t xml:space="preserve">Hesse Amandine</t>
  </si>
  <si>
    <t xml:space="preserve">Garcia Cid Maria</t>
  </si>
  <si>
    <t xml:space="preserve">Betway</t>
  </si>
  <si>
    <t xml:space="preserve">stari</t>
  </si>
  <si>
    <t xml:space="preserve">Muški Challenger</t>
  </si>
  <si>
    <t xml:space="preserve">Catania (Italy) - Qualification, clay</t>
  </si>
  <si>
    <t xml:space="preserve">Jones Maximus</t>
  </si>
  <si>
    <t xml:space="preserve">Gima Sebastian</t>
  </si>
  <si>
    <t xml:space="preserve">Lisbon (Portugal) - Qualification, clay</t>
  </si>
  <si>
    <t xml:space="preserve">Cakarevic Sara</t>
  </si>
  <si>
    <t xml:space="preserve">Tsygourova Katerina</t>
  </si>
  <si>
    <t xml:space="preserve">Nagy Adrienn</t>
  </si>
  <si>
    <t xml:space="preserve">Voloshchuk Angelina</t>
  </si>
  <si>
    <t xml:space="preserve">Roanne (France) - Qualification, hard (indoor)</t>
  </si>
  <si>
    <t xml:space="preserve">Paul Jakub</t>
  </si>
  <si>
    <t xml:space="preserve">Mcdonald Niels</t>
  </si>
  <si>
    <t xml:space="preserve">Van Emst Sarah</t>
  </si>
  <si>
    <t xml:space="preserve">Serban Raluca Georgiana</t>
  </si>
  <si>
    <t xml:space="preserve">Jinan (China), hard</t>
  </si>
  <si>
    <t xml:space="preserve">Kopriva Vit</t>
  </si>
  <si>
    <t xml:space="preserve">Kotov Pavel</t>
  </si>
  <si>
    <t xml:space="preserve">10bet</t>
  </si>
  <si>
    <t xml:space="preserve">Čeka</t>
  </si>
  <si>
    <t xml:space="preserve">Rovereto (Italy), hard (indoor)</t>
  </si>
  <si>
    <t xml:space="preserve">Radivojevic Lola</t>
  </si>
  <si>
    <t xml:space="preserve">Kostovic Teodora</t>
  </si>
  <si>
    <t xml:space="preserve">Paddy Power</t>
  </si>
  <si>
    <t xml:space="preserve">Siskova Anna</t>
  </si>
  <si>
    <t xml:space="preserve">Ruzic Antonia</t>
  </si>
  <si>
    <t xml:space="preserve">Arango Emiliana</t>
  </si>
  <si>
    <t xml:space="preserve">Knutson Gabriela</t>
  </si>
  <si>
    <t xml:space="preserve">William Hill</t>
  </si>
  <si>
    <t xml:space="preserve">Blanchet Ugo</t>
  </si>
  <si>
    <t xml:space="preserve">De Jonge Daniel</t>
  </si>
  <si>
    <t xml:space="preserve">Unibetuk</t>
  </si>
  <si>
    <t xml:space="preserve">Siniakov Daniel</t>
  </si>
  <si>
    <t xml:space="preserve">Vrba Jakub</t>
  </si>
  <si>
    <t xml:space="preserve">BetUK</t>
  </si>
  <si>
    <t xml:space="preserve">Kucmova Aneta</t>
  </si>
  <si>
    <t xml:space="preserve">Ladbrokes</t>
  </si>
  <si>
    <t xml:space="preserve">Bernet Henry</t>
  </si>
  <si>
    <t xml:space="preserve">Boogaard Thijs</t>
  </si>
  <si>
    <t xml:space="preserve">Midnite</t>
  </si>
  <si>
    <t xml:space="preserve">Wobker Ida</t>
  </si>
  <si>
    <t xml:space="preserve">Diaz Adrover Cristina</t>
  </si>
  <si>
    <t xml:space="preserve">Lisbon (Portugal), clay</t>
  </si>
  <si>
    <t xml:space="preserve">Georgia Pedone</t>
  </si>
  <si>
    <t xml:space="preserve">Matoula Martha</t>
  </si>
  <si>
    <t xml:space="preserve">novi</t>
  </si>
  <si>
    <t xml:space="preserve">Lagutin Pavel</t>
  </si>
  <si>
    <t xml:space="preserve">Ovcharenko Oleksandr</t>
  </si>
  <si>
    <t xml:space="preserve">BetMGM.uk</t>
  </si>
  <si>
    <t xml:space="preserve">Lukas Tena</t>
  </si>
  <si>
    <t xml:space="preserve">Feistel Gina</t>
  </si>
  <si>
    <t xml:space="preserve">bet365</t>
  </si>
  <si>
    <t xml:space="preserve">Catania (Italy), clay</t>
  </si>
  <si>
    <t xml:space="preserve">Gadamauri Buvaysar</t>
  </si>
  <si>
    <t xml:space="preserve">Kopp Sandro</t>
  </si>
  <si>
    <t xml:space="preserve">Muški ITF</t>
  </si>
  <si>
    <t xml:space="preserve">M15 Offenbach (Germany), hard</t>
  </si>
  <si>
    <t xml:space="preserve">Krolo Filip</t>
  </si>
  <si>
    <t xml:space="preserve">Dullinger Vincent</t>
  </si>
  <si>
    <t xml:space="preserve">ATP Tour</t>
  </si>
  <si>
    <t xml:space="preserve">Shanghai (China), hard</t>
  </si>
  <si>
    <t xml:space="preserve">Paul Tommy</t>
  </si>
  <si>
    <t xml:space="preserve">Vacherot Valentin</t>
  </si>
  <si>
    <t xml:space="preserve">Skybet</t>
  </si>
  <si>
    <t xml:space="preserve">Olbia (Italy), hard</t>
  </si>
  <si>
    <t xml:space="preserve">Shelbayh Abedallah</t>
  </si>
  <si>
    <t xml:space="preserve">Guerrieri Andrea</t>
  </si>
  <si>
    <t xml:space="preserve">Searle Henry</t>
  </si>
  <si>
    <t xml:space="preserve">Giunta Massimo</t>
  </si>
  <si>
    <t xml:space="preserve">Mallorca (Spain), clay</t>
  </si>
  <si>
    <t xml:space="preserve">Pigossi Laura</t>
  </si>
  <si>
    <t xml:space="preserve">Brancaccio Nuria</t>
  </si>
  <si>
    <t xml:space="preserve">Masarova Rebeka</t>
  </si>
  <si>
    <t xml:space="preserve">Akugue Noha Noma</t>
  </si>
  <si>
    <t xml:space="preserve">Po kategorijama</t>
  </si>
  <si>
    <t xml:space="preserve">Uloženo</t>
  </si>
  <si>
    <t xml:space="preserve">Ženski ITF</t>
  </si>
  <si>
    <t xml:space="preserve">WTA Tour</t>
  </si>
  <si>
    <t xml:space="preserve">Ukupno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</si>
</sst>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#,##0;[RED]\-#,##0"/>
    <numFmt numFmtId="167" formatCode="0.0%;[RED]\-0.0%"/>
    <numFmt numFmtId="168" formatCode="0"/>
    <numFmt numFmtId="169" formatCode="dd\.mm&quot;. &quot;hh:mm"/>
    <numFmt numFmtId="170" formatCode="@"/>
    <numFmt numFmtId="171" formatCode="0.00"/>
    <numFmt numFmtId="172" formatCode="0.0%"/>
    <numFmt numFmtId="173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3"/>
      <name val="Calibri"/>
      <family val="0"/>
      <charset val="1"/>
    </font>
    <font>
      <sz val="9"/>
      <color rgb="FF7B8794"/>
      <name val="Calibri"/>
      <family val="0"/>
      <charset val="1"/>
    </font>
    <font>
      <b val="true"/>
      <sz val="12"/>
      <color rgb="FF1F2933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F2933"/>
      <name val="Calibri"/>
      <family val="0"/>
      <charset val="1"/>
    </font>
    <font>
      <sz val="10"/>
      <color rgb="FF7B8794"/>
      <name val="Calibri"/>
      <family val="0"/>
      <charset val="1"/>
    </font>
    <font>
      <b val="true"/>
      <sz val="10"/>
      <color rgb="FF1F2933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3B48"/>
        <bgColor rgb="FF1F2933"/>
      </patternFill>
    </fill>
    <fill>
      <patternFill patternType="solid">
        <fgColor rgb="FFF5F7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F3B48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B8794"/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ont>
        <name val="Calibri"/>
        <charset val="1"/>
        <family val="0"/>
        <color rgb="FF1E7B34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7B8794"/>
      <rgbColor rgb="FF9999FF"/>
      <rgbColor rgb="FF993366"/>
      <rgbColor rgb="FFF5F7F9"/>
      <rgbColor rgb="FFCCFFFF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3"/>
      <rgbColor rgb="FF993300"/>
      <rgbColor rgb="FF993366"/>
      <rgbColor rgb="FF333399"/>
      <rgbColor rgb="FF2F3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  <col collapsed="false" customWidth="true" hidden="false" outlineLevel="0" max="18" min="18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B3+SUM($M$6:$M$30)</f>
        <v>100164.05</v>
      </c>
      <c r="D3" s="4" t="n">
        <f aca="false">SUM($M$6:$M$30)</f>
        <v>164.05</v>
      </c>
      <c r="E3" s="5" t="n">
        <f aca="false">IFERROR(SUM($M$6:$M$30)/(SUMIF($L$6:$L$30,"Dobijeno",$K$6:$K$30)+SUMIF($L$6:$L$30,"Izgubljeno",$K$6:$K$30)),"")</f>
        <v>0.0205679538615848</v>
      </c>
      <c r="F3" s="6" t="n">
        <f aca="false">COUNTA($E$6:$E$30)</f>
        <v>25</v>
      </c>
      <c r="G3" s="6" t="n">
        <f aca="false">COUNTIF($L$6:$L$30,"Dobijeno")</f>
        <v>3</v>
      </c>
      <c r="H3" s="6" t="n">
        <f aca="false">COUNTIF($L$6:$L$30,"Izgubljeno")</f>
        <v>3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  <c r="R5" s="7" t="s">
        <v>23</v>
      </c>
    </row>
    <row r="6" customFormat="false" ht="18" hidden="false" customHeight="true" outlineLevel="0" collapsed="false">
      <c r="A6" s="9" t="n">
        <v>1</v>
      </c>
      <c r="B6" s="10" t="n">
        <v>46306.4201388889</v>
      </c>
      <c r="C6" s="11" t="s">
        <v>24</v>
      </c>
      <c r="D6" s="11" t="s">
        <v>25</v>
      </c>
      <c r="E6" s="11" t="s">
        <v>26</v>
      </c>
      <c r="F6" s="11" t="s">
        <v>27</v>
      </c>
      <c r="G6" s="11" t="s">
        <v>28</v>
      </c>
      <c r="H6" s="12" t="n">
        <v>2.6</v>
      </c>
      <c r="I6" s="13" t="n">
        <v>0.405215100539333</v>
      </c>
      <c r="J6" s="13" t="n">
        <v>0.0535592614022666</v>
      </c>
      <c r="K6" s="14" t="n">
        <f aca="false">ROUND(N6*O6,0)</f>
        <v>837</v>
      </c>
      <c r="L6" s="15" t="s">
        <v>6</v>
      </c>
      <c r="M6" s="16" t="n">
        <f aca="false">IF(L6="Dobijeno",K6*(H6-1),IF(L6="Izgubljeno",-K6,IF(L6="Povraćaj",0,"")))</f>
        <v>-837</v>
      </c>
      <c r="N6" s="14" t="n">
        <f aca="false">$B$3+SUMIFS($M$6:$M$30,$Q$6:$Q$30,"&lt;="&amp;P6)</f>
        <v>100000</v>
      </c>
      <c r="O6" s="17" t="n">
        <v>0.00836863459410416</v>
      </c>
      <c r="P6" s="18" t="n">
        <v>46306.419393116</v>
      </c>
      <c r="Q6" s="18" t="n">
        <v>46306.5451388889</v>
      </c>
      <c r="R6" s="11" t="s">
        <v>29</v>
      </c>
    </row>
    <row r="7" customFormat="false" ht="18" hidden="false" customHeight="true" outlineLevel="0" collapsed="false">
      <c r="A7" s="19" t="n">
        <v>2</v>
      </c>
      <c r="B7" s="20" t="n">
        <v>46306.4583333333</v>
      </c>
      <c r="C7" s="21" t="s">
        <v>30</v>
      </c>
      <c r="D7" s="21" t="s">
        <v>31</v>
      </c>
      <c r="E7" s="21" t="s">
        <v>32</v>
      </c>
      <c r="F7" s="21" t="s">
        <v>33</v>
      </c>
      <c r="G7" s="21" t="s">
        <v>28</v>
      </c>
      <c r="H7" s="22" t="n">
        <v>2.6</v>
      </c>
      <c r="I7" s="23" t="n">
        <v>0.416358743710245</v>
      </c>
      <c r="J7" s="23" t="n">
        <v>0.0825327336466371</v>
      </c>
      <c r="K7" s="24" t="n">
        <f aca="false">ROUND(N7*O7,0)</f>
        <v>1290</v>
      </c>
      <c r="L7" s="25" t="s">
        <v>6</v>
      </c>
      <c r="M7" s="26" t="n">
        <f aca="false">IF(L7="Dobijeno",K7*(H7-1),IF(L7="Izgubljeno",-K7,IF(L7="Povraćaj",0,"")))</f>
        <v>-1290</v>
      </c>
      <c r="N7" s="24" t="n">
        <f aca="false">$B$3+SUMIFS($M$6:$M$30,$Q$6:$Q$30,"&lt;="&amp;P7)</f>
        <v>100000</v>
      </c>
      <c r="O7" s="27" t="n">
        <v>0.012895739632287</v>
      </c>
      <c r="P7" s="28" t="n">
        <v>46306.4289088845</v>
      </c>
      <c r="Q7" s="28" t="n">
        <v>46306.6161689815</v>
      </c>
      <c r="R7" s="21" t="s">
        <v>29</v>
      </c>
    </row>
    <row r="8" customFormat="false" ht="18" hidden="false" customHeight="true" outlineLevel="0" collapsed="false">
      <c r="A8" s="9" t="n">
        <v>3</v>
      </c>
      <c r="B8" s="10" t="n">
        <v>46306.5625</v>
      </c>
      <c r="C8" s="11" t="s">
        <v>24</v>
      </c>
      <c r="D8" s="11" t="s">
        <v>34</v>
      </c>
      <c r="E8" s="11" t="s">
        <v>35</v>
      </c>
      <c r="F8" s="11" t="s">
        <v>36</v>
      </c>
      <c r="G8" s="11" t="s">
        <v>28</v>
      </c>
      <c r="H8" s="12" t="n">
        <v>3</v>
      </c>
      <c r="I8" s="13" t="n">
        <v>0.36031214808199</v>
      </c>
      <c r="J8" s="13" t="n">
        <v>0.0809364442459701</v>
      </c>
      <c r="K8" s="14" t="n">
        <f aca="false">ROUND(N8*O8,0)</f>
        <v>1012</v>
      </c>
      <c r="L8" s="15" t="s">
        <v>5</v>
      </c>
      <c r="M8" s="16" t="n">
        <f aca="false">IF(L8="Dobijeno",K8*(H8-1),IF(L8="Izgubljeno",-K8,IF(L8="Povraćaj",0,"")))</f>
        <v>2024</v>
      </c>
      <c r="N8" s="14" t="n">
        <f aca="false">$B$3+SUMIFS($M$6:$M$30,$Q$6:$Q$30,"&lt;="&amp;P8)</f>
        <v>100000</v>
      </c>
      <c r="O8" s="17" t="n">
        <v>0.0101170555307463</v>
      </c>
      <c r="P8" s="18" t="n">
        <v>46306.4193930555</v>
      </c>
      <c r="Q8" s="18" t="n">
        <v>46306.7348263889</v>
      </c>
      <c r="R8" s="11" t="s">
        <v>29</v>
      </c>
    </row>
    <row r="9" customFormat="false" ht="18" hidden="false" customHeight="true" outlineLevel="0" collapsed="false">
      <c r="A9" s="19" t="n">
        <v>4</v>
      </c>
      <c r="B9" s="20" t="n">
        <v>46306.5625</v>
      </c>
      <c r="C9" s="21" t="s">
        <v>24</v>
      </c>
      <c r="D9" s="21" t="s">
        <v>34</v>
      </c>
      <c r="E9" s="21" t="s">
        <v>37</v>
      </c>
      <c r="F9" s="21" t="s">
        <v>38</v>
      </c>
      <c r="G9" s="21" t="s">
        <v>28</v>
      </c>
      <c r="H9" s="22" t="n">
        <v>2.1</v>
      </c>
      <c r="I9" s="23" t="n">
        <v>0.500827758854233</v>
      </c>
      <c r="J9" s="23" t="n">
        <v>0.0517382935938902</v>
      </c>
      <c r="K9" s="24" t="n">
        <f aca="false">ROUND(N9*O9,0)</f>
        <v>1176</v>
      </c>
      <c r="L9" s="25" t="s">
        <v>5</v>
      </c>
      <c r="M9" s="26" t="n">
        <f aca="false">IF(L9="Dobijeno",K9*(H9-1),IF(L9="Izgubljeno",-K9,IF(L9="Povraćaj",0,"")))</f>
        <v>1293.6</v>
      </c>
      <c r="N9" s="24" t="n">
        <f aca="false">$B$3+SUMIFS($M$6:$M$30,$Q$6:$Q$30,"&lt;="&amp;P9)</f>
        <v>100000</v>
      </c>
      <c r="O9" s="27" t="n">
        <v>0.0117587030895205</v>
      </c>
      <c r="P9" s="28" t="n">
        <v>46306.4193931489</v>
      </c>
      <c r="Q9" s="28" t="n">
        <v>46306.7348263889</v>
      </c>
      <c r="R9" s="21" t="s">
        <v>29</v>
      </c>
    </row>
    <row r="10" customFormat="false" ht="18" hidden="false" customHeight="true" outlineLevel="0" collapsed="false">
      <c r="A10" s="9" t="n">
        <v>5</v>
      </c>
      <c r="B10" s="10" t="n">
        <v>46306.6041666667</v>
      </c>
      <c r="C10" s="11" t="s">
        <v>30</v>
      </c>
      <c r="D10" s="11" t="s">
        <v>39</v>
      </c>
      <c r="E10" s="11" t="s">
        <v>40</v>
      </c>
      <c r="F10" s="11" t="s">
        <v>41</v>
      </c>
      <c r="G10" s="11" t="s">
        <v>28</v>
      </c>
      <c r="H10" s="12" t="n">
        <v>1.95</v>
      </c>
      <c r="I10" s="13" t="n">
        <v>0.539150526411736</v>
      </c>
      <c r="J10" s="13" t="n">
        <v>0.0513435265028857</v>
      </c>
      <c r="K10" s="14" t="n">
        <f aca="false">ROUND(N10*O10,0)</f>
        <v>1351</v>
      </c>
      <c r="L10" s="15" t="s">
        <v>5</v>
      </c>
      <c r="M10" s="16" t="n">
        <f aca="false">IF(L10="Dobijeno",K10*(H10-1),IF(L10="Izgubljeno",-K10,IF(L10="Povraćaj",0,"")))</f>
        <v>1283.45</v>
      </c>
      <c r="N10" s="14" t="n">
        <f aca="false">$B$3+SUMIFS($M$6:$M$30,$Q$6:$Q$30,"&lt;="&amp;P10)</f>
        <v>100000</v>
      </c>
      <c r="O10" s="17" t="n">
        <v>0.0135114543428647</v>
      </c>
      <c r="P10" s="18" t="n">
        <v>46306.4518352299</v>
      </c>
      <c r="Q10" s="18" t="n">
        <v>46306.8356828704</v>
      </c>
      <c r="R10" s="11" t="s">
        <v>29</v>
      </c>
    </row>
    <row r="11" customFormat="false" ht="18" hidden="false" customHeight="true" outlineLevel="0" collapsed="false">
      <c r="A11" s="19" t="n">
        <v>6</v>
      </c>
      <c r="B11" s="20" t="n">
        <v>46306.625</v>
      </c>
      <c r="C11" s="21" t="s">
        <v>24</v>
      </c>
      <c r="D11" s="21" t="s">
        <v>34</v>
      </c>
      <c r="E11" s="21" t="s">
        <v>42</v>
      </c>
      <c r="F11" s="21" t="s">
        <v>43</v>
      </c>
      <c r="G11" s="21" t="s">
        <v>28</v>
      </c>
      <c r="H11" s="22" t="n">
        <v>1.95</v>
      </c>
      <c r="I11" s="23" t="n">
        <v>0.557839596951955</v>
      </c>
      <c r="J11" s="23" t="n">
        <v>0.087787214056313</v>
      </c>
      <c r="K11" s="24" t="n">
        <f aca="false">ROUND(N11*O11,0)</f>
        <v>2310</v>
      </c>
      <c r="L11" s="25" t="s">
        <v>6</v>
      </c>
      <c r="M11" s="26" t="n">
        <f aca="false">IF(L11="Dobijeno",K11*(H11-1),IF(L11="Izgubljeno",-K11,IF(L11="Povraćaj",0,"")))</f>
        <v>-2310</v>
      </c>
      <c r="N11" s="24" t="n">
        <f aca="false">$B$3+SUMIFS($M$6:$M$30,$Q$6:$Q$30,"&lt;="&amp;P11)</f>
        <v>100000</v>
      </c>
      <c r="O11" s="27" t="n">
        <v>0.0231018984358718</v>
      </c>
      <c r="P11" s="28" t="n">
        <v>46306.4326800874</v>
      </c>
      <c r="Q11" s="28" t="n">
        <v>46306.8129282407</v>
      </c>
      <c r="R11" s="21" t="s">
        <v>29</v>
      </c>
    </row>
    <row r="12" customFormat="false" ht="18" hidden="false" customHeight="true" outlineLevel="0" collapsed="false">
      <c r="A12" s="9" t="n">
        <v>7</v>
      </c>
      <c r="B12" s="10" t="n">
        <v>46307.1666666667</v>
      </c>
      <c r="C12" s="11" t="s">
        <v>30</v>
      </c>
      <c r="D12" s="11" t="s">
        <v>44</v>
      </c>
      <c r="E12" s="11" t="s">
        <v>45</v>
      </c>
      <c r="F12" s="11" t="s">
        <v>46</v>
      </c>
      <c r="G12" s="11" t="s">
        <v>47</v>
      </c>
      <c r="H12" s="12" t="n">
        <v>2.75</v>
      </c>
      <c r="I12" s="13" t="n">
        <v>0.381847434531503</v>
      </c>
      <c r="J12" s="13" t="n">
        <v>0.0500804449616319</v>
      </c>
      <c r="K12" s="14" t="n">
        <f aca="false">ROUND(N12*O12,0)</f>
        <v>715</v>
      </c>
      <c r="L12" s="29" t="s">
        <v>48</v>
      </c>
      <c r="M12" s="16" t="str">
        <f aca="false">IF(L12="Dobijeno",K12*(H12-1),IF(L12="Izgubljeno",-K12,IF(L12="Povraćaj",0,"")))</f>
        <v/>
      </c>
      <c r="N12" s="14" t="n">
        <f aca="false">$B$3+SUMIFS($M$6:$M$30,$Q$6:$Q$30,"&lt;="&amp;P12)</f>
        <v>100000</v>
      </c>
      <c r="O12" s="17" t="n">
        <v>0.00715434928023313</v>
      </c>
      <c r="P12" s="18" t="n">
        <v>46306.4193930847</v>
      </c>
      <c r="Q12" s="18"/>
      <c r="R12" s="11" t="s">
        <v>29</v>
      </c>
    </row>
    <row r="13" customFormat="false" ht="18" hidden="false" customHeight="true" outlineLevel="0" collapsed="false">
      <c r="A13" s="19" t="n">
        <v>8</v>
      </c>
      <c r="B13" s="20" t="n">
        <v>46307.4166666667</v>
      </c>
      <c r="C13" s="21" t="s">
        <v>24</v>
      </c>
      <c r="D13" s="21" t="s">
        <v>49</v>
      </c>
      <c r="E13" s="21" t="s">
        <v>50</v>
      </c>
      <c r="F13" s="21" t="s">
        <v>51</v>
      </c>
      <c r="G13" s="21" t="s">
        <v>52</v>
      </c>
      <c r="H13" s="22" t="n">
        <v>4.33</v>
      </c>
      <c r="I13" s="23" t="n">
        <v>0.247111713760222</v>
      </c>
      <c r="J13" s="23" t="n">
        <v>0.0699937205817622</v>
      </c>
      <c r="K13" s="24" t="n">
        <f aca="false">ROUND(N13*O13,0)</f>
        <v>525</v>
      </c>
      <c r="L13" s="30" t="s">
        <v>48</v>
      </c>
      <c r="M13" s="26" t="str">
        <f aca="false">IF(L13="Dobijeno",K13*(H13-1),IF(L13="Izgubljeno",-K13,IF(L13="Povraćaj",0,"")))</f>
        <v/>
      </c>
      <c r="N13" s="24" t="n">
        <f aca="false">$B$3+SUMIFS($M$6:$M$30,$Q$6:$Q$30,"&lt;="&amp;P13)</f>
        <v>100000</v>
      </c>
      <c r="O13" s="27" t="n">
        <v>0.00525478382745963</v>
      </c>
      <c r="P13" s="28" t="n">
        <v>46306.4193929975</v>
      </c>
      <c r="Q13" s="28"/>
      <c r="R13" s="21" t="s">
        <v>29</v>
      </c>
    </row>
    <row r="14" customFormat="false" ht="18" hidden="false" customHeight="true" outlineLevel="0" collapsed="false">
      <c r="A14" s="9" t="n">
        <v>9</v>
      </c>
      <c r="B14" s="10" t="n">
        <v>46307.4166666667</v>
      </c>
      <c r="C14" s="11" t="s">
        <v>24</v>
      </c>
      <c r="D14" s="11" t="s">
        <v>49</v>
      </c>
      <c r="E14" s="11" t="s">
        <v>53</v>
      </c>
      <c r="F14" s="11" t="s">
        <v>54</v>
      </c>
      <c r="G14" s="11" t="s">
        <v>47</v>
      </c>
      <c r="H14" s="12" t="n">
        <v>3.75</v>
      </c>
      <c r="I14" s="13" t="n">
        <v>0.293793933596532</v>
      </c>
      <c r="J14" s="13" t="n">
        <v>0.101727250986994</v>
      </c>
      <c r="K14" s="14" t="n">
        <f aca="false">ROUND(N14*O14,0)</f>
        <v>925</v>
      </c>
      <c r="L14" s="29" t="s">
        <v>48</v>
      </c>
      <c r="M14" s="16" t="str">
        <f aca="false">IF(L14="Dobijeno",K14*(H14-1),IF(L14="Izgubljeno",-K14,IF(L14="Povraćaj",0,"")))</f>
        <v/>
      </c>
      <c r="N14" s="14" t="n">
        <f aca="false">$B$3+SUMIFS($M$6:$M$30,$Q$6:$Q$30,"&lt;="&amp;P14)</f>
        <v>100000</v>
      </c>
      <c r="O14" s="17" t="n">
        <v>0.00924793190790854</v>
      </c>
      <c r="P14" s="18" t="n">
        <v>46306.4193930267</v>
      </c>
      <c r="Q14" s="18"/>
      <c r="R14" s="11" t="s">
        <v>29</v>
      </c>
    </row>
    <row r="15" customFormat="false" ht="18" hidden="false" customHeight="true" outlineLevel="0" collapsed="false">
      <c r="A15" s="19" t="n">
        <v>10</v>
      </c>
      <c r="B15" s="20" t="n">
        <v>46307.4166666667</v>
      </c>
      <c r="C15" s="21" t="s">
        <v>24</v>
      </c>
      <c r="D15" s="21" t="s">
        <v>49</v>
      </c>
      <c r="E15" s="21" t="s">
        <v>55</v>
      </c>
      <c r="F15" s="21" t="s">
        <v>56</v>
      </c>
      <c r="G15" s="21" t="s">
        <v>57</v>
      </c>
      <c r="H15" s="22" t="n">
        <v>1.95</v>
      </c>
      <c r="I15" s="23" t="n">
        <v>0.56820846900657</v>
      </c>
      <c r="J15" s="23" t="n">
        <v>0.108006514562812</v>
      </c>
      <c r="K15" s="24" t="n">
        <f aca="false">ROUND(N15*O15,0)</f>
        <v>2842</v>
      </c>
      <c r="L15" s="30" t="s">
        <v>48</v>
      </c>
      <c r="M15" s="26" t="str">
        <f aca="false">IF(L15="Dobijeno",K15*(H15-1),IF(L15="Izgubljeno",-K15,IF(L15="Povraćaj",0,"")))</f>
        <v/>
      </c>
      <c r="N15" s="24" t="n">
        <f aca="false">$B$3+SUMIFS($M$6:$M$30,$Q$6:$Q$30,"&lt;="&amp;P15)</f>
        <v>100000</v>
      </c>
      <c r="O15" s="27" t="n">
        <v>0.0284227669902136</v>
      </c>
      <c r="P15" s="28" t="n">
        <v>46306.432680161</v>
      </c>
      <c r="Q15" s="28"/>
      <c r="R15" s="21" t="s">
        <v>29</v>
      </c>
    </row>
    <row r="16" customFormat="false" ht="18" hidden="false" customHeight="true" outlineLevel="0" collapsed="false">
      <c r="A16" s="9" t="n">
        <v>11</v>
      </c>
      <c r="B16" s="10" t="n">
        <v>46307.4166666667</v>
      </c>
      <c r="C16" s="11" t="s">
        <v>30</v>
      </c>
      <c r="D16" s="11" t="s">
        <v>39</v>
      </c>
      <c r="E16" s="11" t="s">
        <v>58</v>
      </c>
      <c r="F16" s="11" t="s">
        <v>59</v>
      </c>
      <c r="G16" s="11" t="s">
        <v>60</v>
      </c>
      <c r="H16" s="12" t="n">
        <v>1.29</v>
      </c>
      <c r="I16" s="13" t="n">
        <v>0.816896359773539</v>
      </c>
      <c r="J16" s="13" t="n">
        <v>0.0537963041078651</v>
      </c>
      <c r="K16" s="14" t="n">
        <f aca="false">ROUND(N16*O16,0)</f>
        <v>4539</v>
      </c>
      <c r="L16" s="29" t="s">
        <v>48</v>
      </c>
      <c r="M16" s="16" t="str">
        <f aca="false">IF(L16="Dobijeno",K16*(H16-1),IF(L16="Izgubljeno",-K16,IF(L16="Povraćaj",0,"")))</f>
        <v/>
      </c>
      <c r="N16" s="14" t="n">
        <f aca="false">$B$3+SUMIFS($M$6:$M$30,$Q$6:$Q$30,"&lt;="&amp;P16)</f>
        <v>97873</v>
      </c>
      <c r="O16" s="17" t="n">
        <v>0.0463761242309182</v>
      </c>
      <c r="P16" s="18" t="n">
        <v>46306.6382215706</v>
      </c>
      <c r="Q16" s="18"/>
      <c r="R16" s="11" t="s">
        <v>29</v>
      </c>
    </row>
    <row r="17" customFormat="false" ht="18" hidden="false" customHeight="true" outlineLevel="0" collapsed="false">
      <c r="A17" s="19" t="n">
        <v>12</v>
      </c>
      <c r="B17" s="20" t="n">
        <v>46307.4166666667</v>
      </c>
      <c r="C17" s="21" t="s">
        <v>30</v>
      </c>
      <c r="D17" s="21" t="s">
        <v>31</v>
      </c>
      <c r="E17" s="21" t="s">
        <v>61</v>
      </c>
      <c r="F17" s="21" t="s">
        <v>62</v>
      </c>
      <c r="G17" s="21" t="s">
        <v>63</v>
      </c>
      <c r="H17" s="22" t="n">
        <v>1.7</v>
      </c>
      <c r="I17" s="23" t="n">
        <v>0.626339161064468</v>
      </c>
      <c r="J17" s="23" t="n">
        <v>0.064776573809596</v>
      </c>
      <c r="K17" s="24" t="n">
        <f aca="false">ROUND(N17*O17,0)</f>
        <v>2264</v>
      </c>
      <c r="L17" s="30" t="s">
        <v>48</v>
      </c>
      <c r="M17" s="26" t="str">
        <f aca="false">IF(L17="Dobijeno",K17*(H17-1),IF(L17="Izgubljeno",-K17,IF(L17="Povraćaj",0,"")))</f>
        <v/>
      </c>
      <c r="N17" s="24" t="n">
        <f aca="false">$B$3+SUMIFS($M$6:$M$30,$Q$6:$Q$30,"&lt;="&amp;P17)</f>
        <v>97873</v>
      </c>
      <c r="O17" s="27" t="n">
        <v>0.0231344906462843</v>
      </c>
      <c r="P17" s="28" t="n">
        <v>46306.7348163256</v>
      </c>
      <c r="Q17" s="28"/>
      <c r="R17" s="21" t="s">
        <v>29</v>
      </c>
    </row>
    <row r="18" customFormat="false" ht="18" hidden="false" customHeight="true" outlineLevel="0" collapsed="false">
      <c r="A18" s="9" t="n">
        <v>13</v>
      </c>
      <c r="B18" s="10" t="n">
        <v>46307.4166666667</v>
      </c>
      <c r="C18" s="11" t="s">
        <v>24</v>
      </c>
      <c r="D18" s="11" t="s">
        <v>25</v>
      </c>
      <c r="E18" s="11" t="s">
        <v>64</v>
      </c>
      <c r="F18" s="11" t="s">
        <v>27</v>
      </c>
      <c r="G18" s="11" t="s">
        <v>65</v>
      </c>
      <c r="H18" s="12" t="n">
        <v>3.25</v>
      </c>
      <c r="I18" s="13" t="n">
        <v>0.323280998329105</v>
      </c>
      <c r="J18" s="13" t="n">
        <v>0.0506632445695918</v>
      </c>
      <c r="K18" s="14" t="n">
        <f aca="false">ROUND(N18*O18,0)</f>
        <v>570</v>
      </c>
      <c r="L18" s="29" t="s">
        <v>48</v>
      </c>
      <c r="M18" s="16" t="str">
        <f aca="false">IF(L18="Dobijeno",K18*(H18-1),IF(L18="Izgubljeno",-K18,IF(L18="Povraćaj",0,"")))</f>
        <v/>
      </c>
      <c r="N18" s="14" t="n">
        <f aca="false">$B$3+SUMIFS($M$6:$M$30,$Q$6:$Q$30,"&lt;="&amp;P18)</f>
        <v>101190.6</v>
      </c>
      <c r="O18" s="17" t="n">
        <v>0.00562924939662131</v>
      </c>
      <c r="P18" s="18" t="n">
        <v>46306.74084516</v>
      </c>
      <c r="Q18" s="18"/>
      <c r="R18" s="11" t="s">
        <v>29</v>
      </c>
    </row>
    <row r="19" customFormat="false" ht="18" hidden="false" customHeight="true" outlineLevel="0" collapsed="false">
      <c r="A19" s="19" t="n">
        <v>14</v>
      </c>
      <c r="B19" s="20" t="n">
        <v>46307.4166666667</v>
      </c>
      <c r="C19" s="21" t="s">
        <v>30</v>
      </c>
      <c r="D19" s="21" t="s">
        <v>39</v>
      </c>
      <c r="E19" s="21" t="s">
        <v>66</v>
      </c>
      <c r="F19" s="21" t="s">
        <v>67</v>
      </c>
      <c r="G19" s="21" t="s">
        <v>68</v>
      </c>
      <c r="H19" s="22" t="n">
        <v>1.36</v>
      </c>
      <c r="I19" s="23" t="n">
        <v>0.777228481648843</v>
      </c>
      <c r="J19" s="23" t="n">
        <v>0.0570307350424262</v>
      </c>
      <c r="K19" s="24" t="n">
        <f aca="false">ROUND(N19*O19,0)</f>
        <v>4008</v>
      </c>
      <c r="L19" s="30" t="s">
        <v>48</v>
      </c>
      <c r="M19" s="26" t="str">
        <f aca="false">IF(L19="Dobijeno",K19*(H19-1),IF(L19="Izgubljeno",-K19,IF(L19="Povraćaj",0,"")))</f>
        <v/>
      </c>
      <c r="N19" s="24" t="n">
        <f aca="false">$B$3+SUMIFS($M$6:$M$30,$Q$6:$Q$30,"&lt;="&amp;P19)</f>
        <v>101190.6</v>
      </c>
      <c r="O19" s="27" t="n">
        <v>0.0396046771127959</v>
      </c>
      <c r="P19" s="28" t="n">
        <v>46306.7408452174</v>
      </c>
      <c r="Q19" s="28"/>
      <c r="R19" s="21" t="s">
        <v>29</v>
      </c>
    </row>
    <row r="20" customFormat="false" ht="18" hidden="false" customHeight="true" outlineLevel="0" collapsed="false">
      <c r="A20" s="9" t="n">
        <v>15</v>
      </c>
      <c r="B20" s="10" t="n">
        <v>46307.4166666667</v>
      </c>
      <c r="C20" s="11" t="s">
        <v>24</v>
      </c>
      <c r="D20" s="11" t="s">
        <v>25</v>
      </c>
      <c r="E20" s="11" t="s">
        <v>69</v>
      </c>
      <c r="F20" s="11" t="s">
        <v>70</v>
      </c>
      <c r="G20" s="11" t="s">
        <v>57</v>
      </c>
      <c r="H20" s="12" t="n">
        <v>1.33</v>
      </c>
      <c r="I20" s="13" t="n">
        <v>0.815112130507263</v>
      </c>
      <c r="J20" s="13" t="n">
        <v>0.0840991335746604</v>
      </c>
      <c r="K20" s="14" t="n">
        <f aca="false">ROUND(N20*O20,0)</f>
        <v>6447</v>
      </c>
      <c r="L20" s="29" t="s">
        <v>48</v>
      </c>
      <c r="M20" s="16" t="str">
        <f aca="false">IF(L20="Dobijeno",K20*(H20-1),IF(L20="Izgubljeno",-K20,IF(L20="Povraćaj",0,"")))</f>
        <v/>
      </c>
      <c r="N20" s="14" t="n">
        <f aca="false">$B$3+SUMIFS($M$6:$M$30,$Q$6:$Q$30,"&lt;="&amp;P20)</f>
        <v>101190.6</v>
      </c>
      <c r="O20" s="17" t="n">
        <v>0.0637114648292882</v>
      </c>
      <c r="P20" s="18" t="n">
        <v>46306.7759956741</v>
      </c>
      <c r="Q20" s="18"/>
      <c r="R20" s="11" t="s">
        <v>29</v>
      </c>
    </row>
    <row r="21" customFormat="false" ht="18" hidden="false" customHeight="true" outlineLevel="0" collapsed="false">
      <c r="A21" s="19" t="n">
        <v>16</v>
      </c>
      <c r="B21" s="20" t="n">
        <v>46307.4583333333</v>
      </c>
      <c r="C21" s="21" t="s">
        <v>24</v>
      </c>
      <c r="D21" s="21" t="s">
        <v>71</v>
      </c>
      <c r="E21" s="21" t="s">
        <v>72</v>
      </c>
      <c r="F21" s="21" t="s">
        <v>73</v>
      </c>
      <c r="G21" s="21" t="s">
        <v>28</v>
      </c>
      <c r="H21" s="22" t="n">
        <v>2.2</v>
      </c>
      <c r="I21" s="23" t="n">
        <v>0.486697706236327</v>
      </c>
      <c r="J21" s="23" t="n">
        <v>0.0707349537199185</v>
      </c>
      <c r="K21" s="24" t="n">
        <f aca="false">ROUND(N21*O21,0)</f>
        <v>1491</v>
      </c>
      <c r="L21" s="30" t="s">
        <v>48</v>
      </c>
      <c r="M21" s="26" t="str">
        <f aca="false">IF(L21="Dobijeno",K21*(H21-1),IF(L21="Izgubljeno",-K21,IF(L21="Povraćaj",0,"")))</f>
        <v/>
      </c>
      <c r="N21" s="24" t="n">
        <f aca="false">$B$3+SUMIFS($M$6:$M$30,$Q$6:$Q$30,"&lt;="&amp;P21)</f>
        <v>101190.6</v>
      </c>
      <c r="O21" s="27" t="n">
        <v>0.0147364486916497</v>
      </c>
      <c r="P21" s="28" t="n">
        <v>46306.8129257842</v>
      </c>
      <c r="Q21" s="28"/>
      <c r="R21" s="21" t="s">
        <v>74</v>
      </c>
    </row>
    <row r="22" customFormat="false" ht="18" hidden="false" customHeight="true" outlineLevel="0" collapsed="false">
      <c r="A22" s="9" t="n">
        <v>17</v>
      </c>
      <c r="B22" s="10" t="n">
        <v>46307.4791666667</v>
      </c>
      <c r="C22" s="11" t="s">
        <v>30</v>
      </c>
      <c r="D22" s="11" t="s">
        <v>31</v>
      </c>
      <c r="E22" s="11" t="s">
        <v>75</v>
      </c>
      <c r="F22" s="11" t="s">
        <v>76</v>
      </c>
      <c r="G22" s="11" t="s">
        <v>77</v>
      </c>
      <c r="H22" s="12" t="n">
        <v>1.67</v>
      </c>
      <c r="I22" s="13" t="n">
        <v>0.638345060344031</v>
      </c>
      <c r="J22" s="13" t="n">
        <v>0.0660362507745314</v>
      </c>
      <c r="K22" s="14" t="n">
        <f aca="false">ROUND(N22*O22,0)</f>
        <v>2493</v>
      </c>
      <c r="L22" s="29" t="s">
        <v>48</v>
      </c>
      <c r="M22" s="16" t="str">
        <f aca="false">IF(L22="Dobijeno",K22*(H22-1),IF(L22="Izgubljeno",-K22,IF(L22="Povraćaj",0,"")))</f>
        <v/>
      </c>
      <c r="N22" s="14" t="n">
        <f aca="false">$B$3+SUMIFS($M$6:$M$30,$Q$6:$Q$30,"&lt;="&amp;P22)</f>
        <v>101190.6</v>
      </c>
      <c r="O22" s="17" t="n">
        <v>0.024640392080049</v>
      </c>
      <c r="P22" s="18" t="n">
        <v>46306.8129258381</v>
      </c>
      <c r="Q22" s="18"/>
      <c r="R22" s="11" t="s">
        <v>74</v>
      </c>
    </row>
    <row r="23" customFormat="false" ht="18" hidden="false" customHeight="true" outlineLevel="0" collapsed="false">
      <c r="A23" s="19" t="n">
        <v>18</v>
      </c>
      <c r="B23" s="20" t="n">
        <v>46307.5</v>
      </c>
      <c r="C23" s="21" t="s">
        <v>24</v>
      </c>
      <c r="D23" s="21" t="s">
        <v>34</v>
      </c>
      <c r="E23" s="21" t="s">
        <v>78</v>
      </c>
      <c r="F23" s="21" t="s">
        <v>79</v>
      </c>
      <c r="G23" s="21" t="s">
        <v>80</v>
      </c>
      <c r="H23" s="22" t="n">
        <v>3</v>
      </c>
      <c r="I23" s="23" t="n">
        <v>0.354326800887514</v>
      </c>
      <c r="J23" s="23" t="n">
        <v>0.0629804026625427</v>
      </c>
      <c r="K23" s="24" t="n">
        <f aca="false">ROUND(N23*O23,0)</f>
        <v>778</v>
      </c>
      <c r="L23" s="30" t="s">
        <v>48</v>
      </c>
      <c r="M23" s="26" t="str">
        <f aca="false">IF(L23="Dobijeno",K23*(H23-1),IF(L23="Izgubljeno",-K23,IF(L23="Povraćaj",0,"")))</f>
        <v/>
      </c>
      <c r="N23" s="24" t="n">
        <f aca="false">$B$3+SUMIFS($M$6:$M$30,$Q$6:$Q$30,"&lt;="&amp;P23)</f>
        <v>98880.6</v>
      </c>
      <c r="O23" s="27" t="n">
        <v>0.00787255033281784</v>
      </c>
      <c r="P23" s="28" t="n">
        <v>46306.8356753536</v>
      </c>
      <c r="Q23" s="28"/>
      <c r="R23" s="21" t="s">
        <v>74</v>
      </c>
    </row>
    <row r="24" customFormat="false" ht="18" hidden="false" customHeight="true" outlineLevel="0" collapsed="false">
      <c r="A24" s="9" t="n">
        <v>19</v>
      </c>
      <c r="B24" s="10" t="n">
        <v>46307.5416666667</v>
      </c>
      <c r="C24" s="11" t="s">
        <v>30</v>
      </c>
      <c r="D24" s="11" t="s">
        <v>81</v>
      </c>
      <c r="E24" s="11" t="s">
        <v>82</v>
      </c>
      <c r="F24" s="11" t="s">
        <v>83</v>
      </c>
      <c r="G24" s="11" t="s">
        <v>60</v>
      </c>
      <c r="H24" s="12" t="n">
        <v>2.29</v>
      </c>
      <c r="I24" s="13" t="n">
        <v>0.459883310011969</v>
      </c>
      <c r="J24" s="13" t="n">
        <v>0.0531327799274091</v>
      </c>
      <c r="K24" s="14" t="n">
        <f aca="false">ROUND(N24*O24,0)</f>
        <v>1042</v>
      </c>
      <c r="L24" s="29" t="s">
        <v>48</v>
      </c>
      <c r="M24" s="16" t="str">
        <f aca="false">IF(L24="Dobijeno",K24*(H24-1),IF(L24="Izgubljeno",-K24,IF(L24="Povraćaj",0,"")))</f>
        <v/>
      </c>
      <c r="N24" s="14" t="n">
        <f aca="false">$B$3+SUMIFS($M$6:$M$30,$Q$6:$Q$30,"&lt;="&amp;P24)</f>
        <v>101190.6</v>
      </c>
      <c r="O24" s="17" t="n">
        <v>0.0102970503735289</v>
      </c>
      <c r="P24" s="18" t="n">
        <v>46306.8129257319</v>
      </c>
      <c r="Q24" s="18"/>
      <c r="R24" s="11" t="s">
        <v>74</v>
      </c>
    </row>
    <row r="25" customFormat="false" ht="18" hidden="false" customHeight="true" outlineLevel="0" collapsed="false">
      <c r="A25" s="19" t="n">
        <v>20</v>
      </c>
      <c r="B25" s="20" t="n">
        <v>46307.5416666667</v>
      </c>
      <c r="C25" s="21" t="s">
        <v>84</v>
      </c>
      <c r="D25" s="21" t="s">
        <v>85</v>
      </c>
      <c r="E25" s="21" t="s">
        <v>86</v>
      </c>
      <c r="F25" s="21" t="s">
        <v>87</v>
      </c>
      <c r="G25" s="21" t="s">
        <v>28</v>
      </c>
      <c r="H25" s="22" t="n">
        <v>2.25</v>
      </c>
      <c r="I25" s="23" t="n">
        <v>0.495801175739309</v>
      </c>
      <c r="J25" s="23" t="n">
        <v>0.115552645413446</v>
      </c>
      <c r="K25" s="24" t="n">
        <f aca="false">ROUND(N25*O25,0)</f>
        <v>2315</v>
      </c>
      <c r="L25" s="30" t="s">
        <v>48</v>
      </c>
      <c r="M25" s="26" t="str">
        <f aca="false">IF(L25="Dobijeno",K25*(H25-1),IF(L25="Izgubljeno",-K25,IF(L25="Povraćaj",0,"")))</f>
        <v/>
      </c>
      <c r="N25" s="24" t="n">
        <f aca="false">$B$3+SUMIFS($M$6:$M$30,$Q$6:$Q$30,"&lt;="&amp;P25)</f>
        <v>100164.05</v>
      </c>
      <c r="O25" s="27" t="n">
        <v>0.0231105290826892</v>
      </c>
      <c r="P25" s="28" t="n">
        <v>46306.8598607251</v>
      </c>
      <c r="Q25" s="28"/>
      <c r="R25" s="21" t="s">
        <v>74</v>
      </c>
    </row>
    <row r="26" customFormat="false" ht="18" hidden="false" customHeight="true" outlineLevel="0" collapsed="false">
      <c r="A26" s="9" t="n">
        <v>21</v>
      </c>
      <c r="B26" s="10" t="n">
        <v>46307.5625</v>
      </c>
      <c r="C26" s="11" t="s">
        <v>88</v>
      </c>
      <c r="D26" s="11" t="s">
        <v>89</v>
      </c>
      <c r="E26" s="11" t="s">
        <v>90</v>
      </c>
      <c r="F26" s="11" t="s">
        <v>91</v>
      </c>
      <c r="G26" s="11" t="s">
        <v>92</v>
      </c>
      <c r="H26" s="12" t="n">
        <v>1.67</v>
      </c>
      <c r="I26" s="13" t="n">
        <v>0.63137116329942</v>
      </c>
      <c r="J26" s="13" t="n">
        <v>0.0543898427100313</v>
      </c>
      <c r="K26" s="14" t="n">
        <f aca="false">ROUND(N26*O26,0)</f>
        <v>2029</v>
      </c>
      <c r="L26" s="29" t="s">
        <v>48</v>
      </c>
      <c r="M26" s="16" t="str">
        <f aca="false">IF(L26="Dobijeno",K26*(H26-1),IF(L26="Izgubljeno",-K26,IF(L26="Povraćaj",0,"")))</f>
        <v/>
      </c>
      <c r="N26" s="14" t="n">
        <f aca="false">$B$3+SUMIFS($M$6:$M$30,$Q$6:$Q$30,"&lt;="&amp;P26)</f>
        <v>100000</v>
      </c>
      <c r="O26" s="17" t="n">
        <v>0.0202947174291162</v>
      </c>
      <c r="P26" s="18" t="n">
        <v>46306.4326802327</v>
      </c>
      <c r="Q26" s="18"/>
      <c r="R26" s="11" t="s">
        <v>29</v>
      </c>
    </row>
    <row r="27" customFormat="false" ht="18" hidden="false" customHeight="true" outlineLevel="0" collapsed="false">
      <c r="A27" s="19" t="n">
        <v>22</v>
      </c>
      <c r="B27" s="20" t="n">
        <v>46307.5833333333</v>
      </c>
      <c r="C27" s="21" t="s">
        <v>30</v>
      </c>
      <c r="D27" s="21" t="s">
        <v>93</v>
      </c>
      <c r="E27" s="21" t="s">
        <v>94</v>
      </c>
      <c r="F27" s="21" t="s">
        <v>95</v>
      </c>
      <c r="G27" s="21" t="s">
        <v>52</v>
      </c>
      <c r="H27" s="22" t="n">
        <v>1.91</v>
      </c>
      <c r="I27" s="23" t="n">
        <v>0.550436972176774</v>
      </c>
      <c r="J27" s="23" t="n">
        <v>0.0513346168576376</v>
      </c>
      <c r="K27" s="24" t="n">
        <f aca="false">ROUND(N27*O27,0)</f>
        <v>1380</v>
      </c>
      <c r="L27" s="30" t="s">
        <v>48</v>
      </c>
      <c r="M27" s="26" t="str">
        <f aca="false">IF(L27="Dobijeno",K27*(H27-1),IF(L27="Izgubljeno",-K27,IF(L27="Povraćaj",0,"")))</f>
        <v/>
      </c>
      <c r="N27" s="24" t="n">
        <f aca="false">$B$3+SUMIFS($M$6:$M$30,$Q$6:$Q$30,"&lt;="&amp;P27)</f>
        <v>97873</v>
      </c>
      <c r="O27" s="27" t="n">
        <v>0.0141029167191312</v>
      </c>
      <c r="P27" s="28" t="n">
        <v>46306.7348162756</v>
      </c>
      <c r="Q27" s="28"/>
      <c r="R27" s="21" t="s">
        <v>29</v>
      </c>
    </row>
    <row r="28" customFormat="false" ht="18" hidden="false" customHeight="true" outlineLevel="0" collapsed="false">
      <c r="A28" s="9" t="n">
        <v>23</v>
      </c>
      <c r="B28" s="10" t="n">
        <v>46308.4166666667</v>
      </c>
      <c r="C28" s="11" t="s">
        <v>30</v>
      </c>
      <c r="D28" s="11" t="s">
        <v>81</v>
      </c>
      <c r="E28" s="11" t="s">
        <v>96</v>
      </c>
      <c r="F28" s="11" t="s">
        <v>97</v>
      </c>
      <c r="G28" s="11" t="s">
        <v>47</v>
      </c>
      <c r="H28" s="12" t="n">
        <v>3</v>
      </c>
      <c r="I28" s="13" t="n">
        <v>0.354632512232372</v>
      </c>
      <c r="J28" s="13" t="n">
        <v>0.0638975366971162</v>
      </c>
      <c r="K28" s="14" t="n">
        <f aca="false">ROUND(N28*O28,0)</f>
        <v>808</v>
      </c>
      <c r="L28" s="29" t="s">
        <v>48</v>
      </c>
      <c r="M28" s="16" t="str">
        <f aca="false">IF(L28="Dobijeno",K28*(H28-1),IF(L28="Izgubljeno",-K28,IF(L28="Povraćaj",0,"")))</f>
        <v/>
      </c>
      <c r="N28" s="14" t="n">
        <f aca="false">$B$3+SUMIFS($M$6:$M$30,$Q$6:$Q$30,"&lt;="&amp;P28)</f>
        <v>101190.6</v>
      </c>
      <c r="O28" s="17" t="n">
        <v>0.00798719208713952</v>
      </c>
      <c r="P28" s="18" t="n">
        <v>46306.8129256591</v>
      </c>
      <c r="Q28" s="18"/>
      <c r="R28" s="11" t="s">
        <v>74</v>
      </c>
    </row>
    <row r="29" customFormat="false" ht="18" hidden="false" customHeight="true" outlineLevel="0" collapsed="false">
      <c r="A29" s="19" t="n">
        <v>24</v>
      </c>
      <c r="B29" s="20" t="n">
        <v>46308.4583333333</v>
      </c>
      <c r="C29" s="21" t="s">
        <v>24</v>
      </c>
      <c r="D29" s="21" t="s">
        <v>98</v>
      </c>
      <c r="E29" s="21" t="s">
        <v>99</v>
      </c>
      <c r="F29" s="21" t="s">
        <v>100</v>
      </c>
      <c r="G29" s="21" t="s">
        <v>28</v>
      </c>
      <c r="H29" s="22" t="n">
        <v>3.2</v>
      </c>
      <c r="I29" s="23" t="n">
        <v>0.337263190143472</v>
      </c>
      <c r="J29" s="23" t="n">
        <v>0.0792422084591091</v>
      </c>
      <c r="K29" s="24" t="n">
        <f aca="false">ROUND(N29*O29,0)</f>
        <v>911</v>
      </c>
      <c r="L29" s="30" t="s">
        <v>48</v>
      </c>
      <c r="M29" s="26" t="str">
        <f aca="false">IF(L29="Dobijeno",K29*(H29-1),IF(L29="Izgubljeno",-K29,IF(L29="Povraćaj",0,"")))</f>
        <v/>
      </c>
      <c r="N29" s="24" t="n">
        <f aca="false">$B$3+SUMIFS($M$6:$M$30,$Q$6:$Q$30,"&lt;="&amp;P29)</f>
        <v>101190.6</v>
      </c>
      <c r="O29" s="27" t="n">
        <v>0.00900479641580785</v>
      </c>
      <c r="P29" s="28" t="n">
        <v>46306.7759956213</v>
      </c>
      <c r="Q29" s="28"/>
      <c r="R29" s="21" t="s">
        <v>29</v>
      </c>
    </row>
    <row r="30" customFormat="false" ht="18" hidden="false" customHeight="true" outlineLevel="0" collapsed="false">
      <c r="A30" s="9" t="n">
        <v>25</v>
      </c>
      <c r="B30" s="10" t="n">
        <v>46308.4583333333</v>
      </c>
      <c r="C30" s="11" t="s">
        <v>24</v>
      </c>
      <c r="D30" s="11" t="s">
        <v>98</v>
      </c>
      <c r="E30" s="11" t="s">
        <v>101</v>
      </c>
      <c r="F30" s="11" t="s">
        <v>102</v>
      </c>
      <c r="G30" s="11" t="s">
        <v>57</v>
      </c>
      <c r="H30" s="12" t="n">
        <v>1.67</v>
      </c>
      <c r="I30" s="13" t="n">
        <v>0.6349361590277</v>
      </c>
      <c r="J30" s="13" t="n">
        <v>0.0603433855762594</v>
      </c>
      <c r="K30" s="14" t="n">
        <f aca="false">ROUND(N30*O30,0)</f>
        <v>2226</v>
      </c>
      <c r="L30" s="29" t="s">
        <v>48</v>
      </c>
      <c r="M30" s="16" t="str">
        <f aca="false">IF(L30="Dobijeno",K30*(H30-1),IF(L30="Izgubljeno",-K30,IF(L30="Povraćaj",0,"")))</f>
        <v/>
      </c>
      <c r="N30" s="14" t="n">
        <f aca="false">$B$3+SUMIFS($M$6:$M$30,$Q$6:$Q$30,"&lt;="&amp;P30)</f>
        <v>98880.6</v>
      </c>
      <c r="O30" s="17" t="n">
        <v>0.022516188647858</v>
      </c>
      <c r="P30" s="18" t="n">
        <v>46306.8356754255</v>
      </c>
      <c r="Q30" s="18"/>
      <c r="R30" s="11" t="s">
        <v>74</v>
      </c>
    </row>
  </sheetData>
  <autoFilter ref="A5:R30"/>
  <conditionalFormatting sqref="M6:M30">
    <cfRule type="cellIs" priority="2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0"/>
    <col collapsed="false" customWidth="true" hidden="false" outlineLevel="0" max="6" min="5" style="0" width="12"/>
    <col collapsed="false" customWidth="true" hidden="false" outlineLevel="0" max="7" min="7" style="0" width="9"/>
  </cols>
  <sheetData>
    <row r="1" customFormat="false" ht="17.35" hidden="false" customHeight="false" outlineLevel="0" collapsed="false">
      <c r="A1" s="1" t="s">
        <v>103</v>
      </c>
    </row>
    <row r="3" customFormat="false" ht="15" hidden="false" customHeight="false" outlineLevel="0" collapsed="false">
      <c r="A3" s="31" t="s">
        <v>9</v>
      </c>
      <c r="B3" s="32" t="s">
        <v>0</v>
      </c>
      <c r="C3" s="32" t="s">
        <v>5</v>
      </c>
      <c r="D3" s="32" t="s">
        <v>6</v>
      </c>
      <c r="E3" s="32" t="s">
        <v>104</v>
      </c>
      <c r="F3" s="32" t="s">
        <v>3</v>
      </c>
      <c r="G3" s="32" t="s">
        <v>4</v>
      </c>
    </row>
    <row r="4" customFormat="false" ht="15" hidden="false" customHeight="false" outlineLevel="0" collapsed="false">
      <c r="A4" s="33" t="s">
        <v>105</v>
      </c>
      <c r="B4" s="34" t="n">
        <f aca="false">COUNTIFS(Opklade!$C$6:$C$30,"Ženski ITF")</f>
        <v>0</v>
      </c>
      <c r="C4" s="34" t="n">
        <f aca="false">COUNTIFS(Opklade!$C$6:$C$30,"Ženski ITF",Opklade!$L$6:$L$30,"Dobijeno")</f>
        <v>0</v>
      </c>
      <c r="D4" s="34" t="n">
        <f aca="false">COUNTIFS(Opklade!$C$6:$C$30,"Ženski ITF",Opklade!$L$6:$L$30,"Izgubljeno")</f>
        <v>0</v>
      </c>
      <c r="E4" s="35" t="n">
        <f aca="false">SUMIFS(Opklade!$K$6:$K$30,Opklade!$C$6:$C$30,"Ženski ITF",Opklade!$L$6:$L$30,"Dobijeno")+SUMIFS(Opklade!$K$6:$K$30,Opklade!$C$6:$C$30,"Ženski ITF",Opklade!$L$6:$L$30,"Izgubljeno")</f>
        <v>0</v>
      </c>
      <c r="F4" s="36" t="n">
        <f aca="false">SUMIFS(Opklade!$M$6:$M$30,Opklade!$C$6:$C$30,"Ženski ITF")</f>
        <v>0</v>
      </c>
      <c r="G4" s="37" t="str">
        <f aca="false">IFERROR(F4/E4,"")</f>
        <v/>
      </c>
    </row>
    <row r="5" customFormat="false" ht="15" hidden="false" customHeight="false" outlineLevel="0" collapsed="false">
      <c r="A5" s="33" t="s">
        <v>30</v>
      </c>
      <c r="B5" s="34" t="n">
        <f aca="false">COUNTIFS(Opklade!$C$6:$C$30,"Muški Challenger")</f>
        <v>10</v>
      </c>
      <c r="C5" s="34" t="n">
        <f aca="false">COUNTIFS(Opklade!$C$6:$C$30,"Muški Challenger",Opklade!$L$6:$L$30,"Dobijeno")</f>
        <v>1</v>
      </c>
      <c r="D5" s="34" t="n">
        <f aca="false">COUNTIFS(Opklade!$C$6:$C$30,"Muški Challenger",Opklade!$L$6:$L$30,"Izgubljeno")</f>
        <v>1</v>
      </c>
      <c r="E5" s="35" t="n">
        <f aca="false">SUMIFS(Opklade!$K$6:$K$30,Opklade!$C$6:$C$30,"Muški Challenger",Opklade!$L$6:$L$30,"Dobijeno")+SUMIFS(Opklade!$K$6:$K$30,Opklade!$C$6:$C$30,"Muški Challenger",Opklade!$L$6:$L$30,"Izgubljeno")</f>
        <v>2641</v>
      </c>
      <c r="F5" s="36" t="n">
        <f aca="false">SUMIFS(Opklade!$M$6:$M$30,Opklade!$C$6:$C$30,"Muški Challenger")</f>
        <v>-6.54999999999995</v>
      </c>
      <c r="G5" s="37" t="n">
        <f aca="false">IFERROR(F5/E5,"")</f>
        <v>-0.0024801211662249</v>
      </c>
    </row>
    <row r="6" customFormat="false" ht="15" hidden="false" customHeight="false" outlineLevel="0" collapsed="false">
      <c r="A6" s="33" t="s">
        <v>84</v>
      </c>
      <c r="B6" s="34" t="n">
        <f aca="false">COUNTIFS(Opklade!$C$6:$C$30,"Muški ITF")</f>
        <v>1</v>
      </c>
      <c r="C6" s="34" t="n">
        <f aca="false">COUNTIFS(Opklade!$C$6:$C$30,"Muški ITF",Opklade!$L$6:$L$30,"Dobijeno")</f>
        <v>0</v>
      </c>
      <c r="D6" s="34" t="n">
        <f aca="false">COUNTIFS(Opklade!$C$6:$C$30,"Muški ITF",Opklade!$L$6:$L$30,"Izgubljeno")</f>
        <v>0</v>
      </c>
      <c r="E6" s="35" t="n">
        <f aca="false">SUMIFS(Opklade!$K$6:$K$30,Opklade!$C$6:$C$30,"Muški ITF",Opklade!$L$6:$L$30,"Dobijeno")+SUMIFS(Opklade!$K$6:$K$30,Opklade!$C$6:$C$30,"Muški ITF",Opklade!$L$6:$L$30,"Izgubljeno")</f>
        <v>0</v>
      </c>
      <c r="F6" s="36" t="n">
        <f aca="false">SUMIFS(Opklade!$M$6:$M$30,Opklade!$C$6:$C$30,"Muški ITF")</f>
        <v>0</v>
      </c>
      <c r="G6" s="37" t="str">
        <f aca="false">IFERROR(F6/E6,"")</f>
        <v/>
      </c>
    </row>
    <row r="7" customFormat="false" ht="15" hidden="false" customHeight="false" outlineLevel="0" collapsed="false">
      <c r="A7" s="33" t="s">
        <v>24</v>
      </c>
      <c r="B7" s="34" t="n">
        <f aca="false">COUNTIFS(Opklade!$C$6:$C$30,"WTA 125")</f>
        <v>13</v>
      </c>
      <c r="C7" s="34" t="n">
        <f aca="false">COUNTIFS(Opklade!$C$6:$C$30,"WTA 125",Opklade!$L$6:$L$30,"Dobijeno")</f>
        <v>2</v>
      </c>
      <c r="D7" s="34" t="n">
        <f aca="false">COUNTIFS(Opklade!$C$6:$C$30,"WTA 125",Opklade!$L$6:$L$30,"Izgubljeno")</f>
        <v>2</v>
      </c>
      <c r="E7" s="35" t="n">
        <f aca="false">SUMIFS(Opklade!$K$6:$K$30,Opklade!$C$6:$C$30,"WTA 125",Opklade!$L$6:$L$30,"Dobijeno")+SUMIFS(Opklade!$K$6:$K$30,Opklade!$C$6:$C$30,"WTA 125",Opklade!$L$6:$L$30,"Izgubljeno")</f>
        <v>5335</v>
      </c>
      <c r="F7" s="36" t="n">
        <f aca="false">SUMIFS(Opklade!$M$6:$M$30,Opklade!$C$6:$C$30,"WTA 125")</f>
        <v>170.6</v>
      </c>
      <c r="G7" s="37" t="n">
        <f aca="false">IFERROR(F7/E7,"")</f>
        <v>0.0319775070290535</v>
      </c>
    </row>
    <row r="8" customFormat="false" ht="15" hidden="false" customHeight="false" outlineLevel="0" collapsed="false">
      <c r="A8" s="33" t="s">
        <v>106</v>
      </c>
      <c r="B8" s="34" t="n">
        <f aca="false">COUNTIFS(Opklade!$C$6:$C$30,"WTA Tour")</f>
        <v>0</v>
      </c>
      <c r="C8" s="34" t="n">
        <f aca="false">COUNTIFS(Opklade!$C$6:$C$30,"WTA Tour",Opklade!$L$6:$L$30,"Dobijeno")</f>
        <v>0</v>
      </c>
      <c r="D8" s="34" t="n">
        <f aca="false">COUNTIFS(Opklade!$C$6:$C$30,"WTA Tour",Opklade!$L$6:$L$30,"Izgubljeno")</f>
        <v>0</v>
      </c>
      <c r="E8" s="35" t="n">
        <f aca="false">SUMIFS(Opklade!$K$6:$K$30,Opklade!$C$6:$C$30,"WTA Tour",Opklade!$L$6:$L$30,"Dobijeno")+SUMIFS(Opklade!$K$6:$K$30,Opklade!$C$6:$C$30,"WTA Tour",Opklade!$L$6:$L$30,"Izgubljeno")</f>
        <v>0</v>
      </c>
      <c r="F8" s="36" t="n">
        <f aca="false">SUMIFS(Opklade!$M$6:$M$30,Opklade!$C$6:$C$30,"WTA Tour")</f>
        <v>0</v>
      </c>
      <c r="G8" s="37" t="str">
        <f aca="false">IFERROR(F8/E8,"")</f>
        <v/>
      </c>
    </row>
    <row r="9" customFormat="false" ht="15" hidden="false" customHeight="false" outlineLevel="0" collapsed="false">
      <c r="A9" s="33" t="s">
        <v>88</v>
      </c>
      <c r="B9" s="34" t="n">
        <f aca="false">COUNTIFS(Opklade!$C$6:$C$30,"ATP Tour")</f>
        <v>1</v>
      </c>
      <c r="C9" s="34" t="n">
        <f aca="false">COUNTIFS(Opklade!$C$6:$C$30,"ATP Tour",Opklade!$L$6:$L$30,"Dobijeno")</f>
        <v>0</v>
      </c>
      <c r="D9" s="34" t="n">
        <f aca="false">COUNTIFS(Opklade!$C$6:$C$30,"ATP Tour",Opklade!$L$6:$L$30,"Izgubljeno")</f>
        <v>0</v>
      </c>
      <c r="E9" s="35" t="n">
        <f aca="false">SUMIFS(Opklade!$K$6:$K$30,Opklade!$C$6:$C$30,"ATP Tour",Opklade!$L$6:$L$30,"Dobijeno")+SUMIFS(Opklade!$K$6:$K$30,Opklade!$C$6:$C$30,"ATP Tour",Opklade!$L$6:$L$30,"Izgubljeno")</f>
        <v>0</v>
      </c>
      <c r="F9" s="36" t="n">
        <f aca="false">SUMIFS(Opklade!$M$6:$M$30,Opklade!$C$6:$C$30,"ATP Tour")</f>
        <v>0</v>
      </c>
      <c r="G9" s="37" t="str">
        <f aca="false">IFERROR(F9/E9,"")</f>
        <v/>
      </c>
    </row>
    <row r="10" customFormat="false" ht="15" hidden="false" customHeight="false" outlineLevel="0" collapsed="false">
      <c r="A10" s="38" t="s">
        <v>107</v>
      </c>
      <c r="B10" s="39" t="n">
        <f aca="false">COUNTIFS(Opklade!$C$6:$C$30,"&lt;&gt;")</f>
        <v>25</v>
      </c>
      <c r="C10" s="39" t="n">
        <f aca="false">COUNTIFS(Opklade!$C$6:$C$30,"&lt;&gt;",Opklade!$L$6:$L$30,"Dobijeno")</f>
        <v>3</v>
      </c>
      <c r="D10" s="39" t="n">
        <f aca="false">COUNTIFS(Opklade!$C$6:$C$30,"&lt;&gt;",Opklade!$L$6:$L$30,"Izgubljeno")</f>
        <v>3</v>
      </c>
      <c r="E10" s="40" t="n">
        <f aca="false">SUMIFS(Opklade!$K$6:$K$30,Opklade!$C$6:$C$30,"&lt;&gt;",Opklade!$L$6:$L$30,"Dobijeno")+SUMIFS(Opklade!$K$6:$K$30,Opklade!$C$6:$C$30,"&lt;&gt;",Opklade!$L$6:$L$30,"Izgubljeno")</f>
        <v>7976</v>
      </c>
      <c r="F10" s="41" t="n">
        <f aca="false">SUMIFS(Opklade!$M$6:$M$30,Opklade!$C$6:$C$30,"&lt;&gt;")</f>
        <v>164.05</v>
      </c>
      <c r="G10" s="42" t="n">
        <f aca="false">IFERROR(F10/E10,"")</f>
        <v>0.0205679538615848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2026-10-11T20:23:35Z</dcterms:created>
  <dc:creator>openpyxl</dc:creator>
  <dc:description/>
  <dc:language>en-US</dc:language>
  <cp:lastModifiedBy/>
  <dcterms:modified xsi:type="dcterms:W3CDTF">2026-10-11T20:23:35Z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