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</sheets>
  <definedNames>
    <definedName function="false" hidden="true" localSheetId="0" name="_xlnm._FilterDatabase" vbProcedure="false">Opklade!$A$5:$N$11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<sst xmlns="http://schemas.openxmlformats.org/spreadsheetml/2006/main" count="61" uniqueCount="47">
  <si>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</si>
  <si>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</si>
  <si>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</si>
  <si>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</si>
  <si>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</si>
  <si>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</si>
  <si>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</si>
  <si>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</si>
  <si>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</si>
  <si>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</si>
  <si>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</si>
  <si>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</si>
  <si>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</si>
  <si>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</si>
  <si>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</si>
  <si>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</si>
  <si>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</si>
  <si>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</si>
  <si>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</si>
  <si>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</si>
  <si>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</si>
  <si>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</si>
  <si>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</si>
  <si>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</si>
  <si>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</si>
  <si>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</si>
  <si>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</si>
  <si>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</si>
  <si>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Roanne (France) - Qualification, hard (indoor)</t>
  </si>
  <si>
    <t xml:space="preserve">Paul Jakub</t>
  </si>
  <si>
    <t xml:space="preserve">Mcdonald Niels</t>
  </si>
  <si>
    <t xml:space="preserve">U toku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</si>
  <si>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</si>
  <si>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</si>
  <si>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</si>
  <si>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</si>
  <si>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</si>
  <si>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</si>
  <si>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</si>
  <si>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</si>
  <si>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</si>
  <si>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</si>
  <si>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</si>
  <si>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Olbia (Italy), hard</t>
  </si>
  <si>
    <t xml:space="preserve">Shelbayh Abedallah</t>
  </si>
  <si>
    <t xml:space="preserve">Guerrieri Andrea</t>
  </si>
  <si>
    <t xml:space="preserve">Paddy Power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</si>
</sst>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B3+SUM($M$6:$M$11)</f>
        <v>98710</v>
      </c>
      <c r="D3" s="4" t="n">
        <f aca="false">SUM($M$6:$M$11)</f>
        <v>-1290</v>
      </c>
      <c r="E3" s="5" t="n">
        <f aca="false">IFERROR(SUM($M$6:$M$11)/(SUMIF($L$6:$L$11,"Dobijeno",$K$6:$K$11)+SUMIF($L$6:$L$11,"Izgubljeno",$K$6:$K$11)),"")</f>
        <v>-1</v>
      </c>
      <c r="F3" s="6" t="n">
        <f aca="false">COUNTA($E$6:$E$11)</f>
        <v>6</v>
      </c>
      <c r="G3" s="6" t="n">
        <f aca="false">COUNTIF($L$6:$L$11,"Dobijeno")</f>
        <v>0</v>
      </c>
      <c r="H3" s="6" t="n">
        <f aca="false">COUNTIF($L$6:$L$11,"Izgubljeno")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23</v>
      </c>
      <c r="D6" s="11" t="s">
        <v>24</v>
      </c>
      <c r="E6" s="11" t="s">
        <v>25</v>
      </c>
      <c r="F6" s="11" t="s">
        <v>26</v>
      </c>
      <c r="G6" s="11" t="s">
        <v>27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$B$3+SUMIFS($M$6:$M$11,$Q$6:$Q$11,"&lt;="&amp;P6)</f>
        <v>100000</v>
      </c>
      <c r="O6" s="17" t="n">
        <v>0.012895739632287</v>
      </c>
      <c r="P6" s="18" t="n">
        <v>46306.4289088845</v>
      </c>
      <c r="Q6" s="18" t="n">
        <v>46306.6161689815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23</v>
      </c>
      <c r="D7" s="21" t="s">
        <v>28</v>
      </c>
      <c r="E7" s="21" t="s">
        <v>29</v>
      </c>
      <c r="F7" s="21" t="s">
        <v>30</v>
      </c>
      <c r="G7" s="21" t="s">
        <v>27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31</v>
      </c>
      <c r="M7" s="26" t="str">
        <f aca="false">IF(L7="Dobijeno",K7*(H7-1),IF(L7="Izgubljeno",-K7,IF(L7="Povraćaj",0,"")))</f>
        <v/>
      </c>
      <c r="N7" s="24" t="n">
        <f aca="false">$B$3+SUMIFS($M$6:$M$11,$Q$6:$Q$11,"&lt;="&amp;P7)</f>
        <v>100000</v>
      </c>
      <c r="O7" s="27" t="n">
        <v>0.0135114543428647</v>
      </c>
      <c r="P7" s="28" t="n">
        <v>46306.4518352299</v>
      </c>
      <c r="Q7" s="28"/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23</v>
      </c>
      <c r="D8" s="11" t="s">
        <v>32</v>
      </c>
      <c r="E8" s="11" t="s">
        <v>33</v>
      </c>
      <c r="F8" s="11" t="s">
        <v>34</v>
      </c>
      <c r="G8" s="11" t="s">
        <v>35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36</v>
      </c>
      <c r="M8" s="16" t="str">
        <f aca="false">IF(L8="Dobijeno",K8*(H8-1),IF(L8="Izgubljeno",-K8,IF(L8="Povraćaj",0,"")))</f>
        <v/>
      </c>
      <c r="N8" s="14" t="n">
        <f aca="false">$B$3+SUMIFS($M$6:$M$11,$Q$6:$Q$11,"&lt;="&amp;P8)</f>
        <v>100000</v>
      </c>
      <c r="O8" s="17" t="n">
        <v>0.00715434928023313</v>
      </c>
      <c r="P8" s="18" t="n">
        <v>46306.4193930847</v>
      </c>
      <c r="Q8" s="18"/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23</v>
      </c>
      <c r="D9" s="21" t="s">
        <v>28</v>
      </c>
      <c r="E9" s="21" t="s">
        <v>37</v>
      </c>
      <c r="F9" s="21" t="s">
        <v>38</v>
      </c>
      <c r="G9" s="21" t="s">
        <v>39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25" t="s">
        <v>36</v>
      </c>
      <c r="M9" s="26" t="str">
        <f aca="false">IF(L9="Dobijeno",K9*(H9-1),IF(L9="Izgubljeno",-K9,IF(L9="Povraćaj",0,"")))</f>
        <v/>
      </c>
      <c r="N9" s="24" t="n">
        <f aca="false">$B$3+SUMIFS($M$6:$M$11,$Q$6:$Q$11,"&lt;="&amp;P9)</f>
        <v>98710</v>
      </c>
      <c r="O9" s="27" t="n">
        <v>0.0463761242309182</v>
      </c>
      <c r="P9" s="28" t="n">
        <v>46306.6382215706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23</v>
      </c>
      <c r="D10" s="11" t="s">
        <v>24</v>
      </c>
      <c r="E10" s="11" t="s">
        <v>40</v>
      </c>
      <c r="F10" s="11" t="s">
        <v>41</v>
      </c>
      <c r="G10" s="11" t="s">
        <v>42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$B$3+SUMIFS($M$6:$M$11,$Q$6:$Q$11,"&lt;="&amp;P10)</f>
        <v>98710</v>
      </c>
      <c r="O10" s="17" t="n">
        <v>0.0231344906462843</v>
      </c>
      <c r="P10" s="18" t="n">
        <v>46306.7348163256</v>
      </c>
      <c r="Q10" s="18"/>
    </row>
    <row r="11" customFormat="false" ht="18" hidden="false" customHeight="true" outlineLevel="0" collapsed="false">
      <c r="A11" s="19" t="n">
        <v>6</v>
      </c>
      <c r="B11" s="20" t="n">
        <v>46307.5833333333</v>
      </c>
      <c r="C11" s="21" t="s">
        <v>23</v>
      </c>
      <c r="D11" s="21" t="s">
        <v>43</v>
      </c>
      <c r="E11" s="21" t="s">
        <v>44</v>
      </c>
      <c r="F11" s="21" t="s">
        <v>45</v>
      </c>
      <c r="G11" s="21" t="s">
        <v>46</v>
      </c>
      <c r="H11" s="22" t="n">
        <v>1.91</v>
      </c>
      <c r="I11" s="23" t="n">
        <v>0.550436972176774</v>
      </c>
      <c r="J11" s="23" t="n">
        <v>0.0513346168576376</v>
      </c>
      <c r="K11" s="24" t="n">
        <f aca="false">ROUND(N11*O11,0)</f>
        <v>1392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$B$3+SUMIFS($M$6:$M$11,$Q$6:$Q$11,"&lt;="&amp;P11)</f>
        <v>98710</v>
      </c>
      <c r="O11" s="27" t="n">
        <v>0.0141029167191312</v>
      </c>
      <c r="P11" s="28" t="n">
        <v>46306.7348162756</v>
      </c>
      <c r="Q11" s="28"/>
    </row>
  </sheetData>
  <autoFilter ref="A5:N11"/>
  <conditionalFormatting sqref="M6:M11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2026-10-11T15:38:11Z</dcterms:created>
  <dc:creator>openpyxl</dc:creator>
  <dc:description/>
  <dc:language>en-US</dc:language>
  <cp:lastModifiedBy/>
  <dcterms:modified xsi:type="dcterms:W3CDTF">2026-10-11T15:38:11Z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