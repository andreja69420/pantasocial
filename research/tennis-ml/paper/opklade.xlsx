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</sheets>
  <definedNames>
    <definedName function="false" hidden="true" localSheetId="0" name="_xlnm._FilterDatabase" vbProcedure="false">Opklade!$A$9:$J$26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<sst xmlns="http://schemas.openxmlformats.org/spreadsheetml/2006/main" count="127" uniqueCount="77">
  <si>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</si>
  <si>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</si>
  <si>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</si>
  <si>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</si>
  <si>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</si>
  <si>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</si>
  <si>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</si>
  <si>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Čeka</t>
  </si>
  <si>
    <t xml:space="preserve">Ženski ITF</t>
  </si>
  <si>
    <t xml:space="preserve">Muški Challenger</t>
  </si>
  <si>
    <t xml:space="preserve">Muški ITF</t>
  </si>
  <si>
    <t xml:space="preserve">WTA 125</t>
  </si>
  <si>
    <t xml:space="preserve">WTA Tour</t>
  </si>
  <si>
    <t xml:space="preserve">ATP Tour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</si>
  <si>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</si>
  <si>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</si>
  <si>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</si>
  <si>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</si>
  <si>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</si>
  <si>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Kvota</t>
  </si>
  <si>
    <t xml:space="preserve">Kladionica</t>
  </si>
  <si>
    <t xml:space="preserve">Ulog</t>
  </si>
  <si>
    <t xml:space="preserve">Rezultat</t>
  </si>
  <si>
    <t xml:space="preserve">Lisbon (Portugal) - Qualification, clay</t>
  </si>
  <si>
    <t xml:space="preserve">Van Emst Sarah</t>
  </si>
  <si>
    <t xml:space="preserve">Serban Raluca Georgiana</t>
  </si>
  <si>
    <t xml:space="preserve">Betway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</si>
  <si>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</si>
  <si>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</si>
  <si>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</si>
  <si>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</si>
  <si>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Rovereto (Italy), hard (indoor)</t>
  </si>
  <si>
    <t xml:space="preserve">Radivojevic Lola</t>
  </si>
  <si>
    <t xml:space="preserve">Kostovic Teodora</t>
  </si>
  <si>
    <t xml:space="preserve">Paddy Power</t>
  </si>
  <si>
    <t xml:space="preserve">Siskova Anna</t>
  </si>
  <si>
    <t xml:space="preserve">Ruzic Antonia</t>
  </si>
  <si>
    <t xml:space="preserve">Arango Emiliana</t>
  </si>
  <si>
    <t xml:space="preserve">Knutson Gabriela</t>
  </si>
  <si>
    <t xml:space="preserve">William Hill</t>
  </si>
  <si>
    <t xml:space="preserve">Roanne (France) - Qualification, hard (indoor)</t>
  </si>
  <si>
    <t xml:space="preserve">Blanchet Ugo</t>
  </si>
  <si>
    <t xml:space="preserve">De Jonge Daniel</t>
  </si>
  <si>
    <t xml:space="preserve">Unibetuk</t>
  </si>
  <si>
    <t xml:space="preserve">Catania (Italy) - Qualification, clay</t>
  </si>
  <si>
    <t xml:space="preserve">Siniakov Daniel</t>
  </si>
  <si>
    <t xml:space="preserve">Vrba Jakub</t>
  </si>
  <si>
    <t xml:space="preserve">BetUK</t>
  </si>
  <si>
    <t xml:space="preserve">Bernet Henry</t>
  </si>
  <si>
    <t xml:space="preserve">Boogaard Thijs</t>
  </si>
  <si>
    <t xml:space="preserve">Midnite</t>
  </si>
  <si>
    <t xml:space="preserve">Mallorca (Spain) - Qualification, clay</t>
  </si>
  <si>
    <t xml:space="preserve">Wobker Ida</t>
  </si>
  <si>
    <t xml:space="preserve">Diaz Adrover Cristina</t>
  </si>
  <si>
    <t xml:space="preserve">Lisbon (Portugal), clay</t>
  </si>
  <si>
    <t xml:space="preserve">Georgia Pedone</t>
  </si>
  <si>
    <t xml:space="preserve">Matoula Martha</t>
  </si>
  <si>
    <t xml:space="preserve">Lagutin Pavel</t>
  </si>
  <si>
    <t xml:space="preserve">Ovcharenko Oleksandr</t>
  </si>
  <si>
    <t xml:space="preserve">BetMGM.uk</t>
  </si>
  <si>
    <t xml:space="preserve">Lukas Tena</t>
  </si>
  <si>
    <t xml:space="preserve">Feistel Gina</t>
  </si>
  <si>
    <t xml:space="preserve">bet365</t>
  </si>
  <si>
    <t xml:space="preserve">Catania (Italy), clay</t>
  </si>
  <si>
    <t xml:space="preserve">Gadamauri Buvaysar</t>
  </si>
  <si>
    <t xml:space="preserve">Kopp Sandro</t>
  </si>
  <si>
    <t xml:space="preserve">M15 Offenbach (Germany), hard</t>
  </si>
  <si>
    <t xml:space="preserve">Krolo Filip</t>
  </si>
  <si>
    <t xml:space="preserve">Dullinger Vincent</t>
  </si>
  <si>
    <t xml:space="preserve">Searle Henry</t>
  </si>
  <si>
    <t xml:space="preserve">Giunta Massimo</t>
  </si>
  <si>
    <t xml:space="preserve">Mallorca (Spain), clay</t>
  </si>
  <si>
    <t xml:space="preserve">Masarova Rebeka</t>
  </si>
  <si>
    <t xml:space="preserve">Akugue Noha Noma</t>
  </si>
  <si>
    <t xml:space="preserve">Olbia (Italy), hard</t>
  </si>
  <si>
    <t xml:space="preserve">Butvilas Edas</t>
  </si>
  <si>
    <t xml:space="preserve">Kumstat Jan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</si>
</sst>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ont>
        <name val="Calibri"/>
        <charset val="1"/>
        <family val="0"/>
        <color rgb="FF1E7B34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993300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5" min="4" style="0" width="22"/>
    <col collapsed="false" customWidth="true" hidden="false" outlineLevel="0" max="6" min="6" style="0" width="7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0</v>
      </c>
      <c r="F2" s="2" t="s">
        <v>5</v>
      </c>
      <c r="G2" s="2" t="s">
        <v>6</v>
      </c>
      <c r="H2" s="2" t="s">
        <v>7</v>
      </c>
    </row>
    <row r="3" customFormat="false" ht="15" hidden="false" customHeight="false" outlineLevel="0" collapsed="false">
      <c r="A3" s="3" t="n">
        <v>100000</v>
      </c>
      <c r="B3" s="3" t="n">
        <f aca="false">A3+SUM($J$10:$J$26)</f>
        <v>97758</v>
      </c>
      <c r="C3" s="4" t="n">
        <f aca="false">SUM($J$10:$J$26)</f>
        <v>-2242</v>
      </c>
      <c r="D3" s="5" t="n">
        <f aca="false">IFERROR(SUM($J$10:$J$26)/(SUMIF($I$10:$I$26,"Dobijeno",$H$10:$H$26)+SUMIF($I$10:$I$26,"Izgubljeno",$H$10:$H$26)),"")</f>
        <v>-1</v>
      </c>
      <c r="E3" s="6" t="n">
        <f aca="false">COUNTA($D$10:$D$26)</f>
        <v>17</v>
      </c>
      <c r="F3" s="6" t="n">
        <f aca="false">COUNTIF($I$10:$I$26,"Dobijeno")</f>
        <v>0</v>
      </c>
      <c r="G3" s="6" t="n">
        <f aca="false">COUNTIF($I$10:$I$26,"Izgubljeno")</f>
        <v>1</v>
      </c>
      <c r="H3" s="6" t="n">
        <f aca="false">COUNTIF($I$10:$I$26,"Čeka")+COUNTIF($I$10:$I$26,"U toku")</f>
        <v>16</v>
      </c>
    </row>
    <row r="5" customFormat="false" ht="15" hidden="false" customHeight="false" outlineLevel="0" collapsed="false">
      <c r="A5" s="7" t="s">
        <v>8</v>
      </c>
      <c r="B5" s="7" t="s">
        <v>9</v>
      </c>
      <c r="C5" s="7" t="s">
        <v>10</v>
      </c>
      <c r="D5" s="7" t="s">
        <v>11</v>
      </c>
      <c r="E5" s="7" t="s">
        <v>12</v>
      </c>
      <c r="F5" s="7" t="s">
        <v>13</v>
      </c>
    </row>
    <row r="6" customFormat="false" ht="15" hidden="false" customHeight="false" outlineLevel="0" collapsed="false">
      <c r="A6" s="8" t="n">
        <f aca="false">SUMIFS($J$10:$J$26,$B$10:$B$26,"Ženski ITF")</f>
        <v>0</v>
      </c>
      <c r="B6" s="8" t="n">
        <f aca="false">SUMIFS($J$10:$J$26,$B$10:$B$26,"Muški Challenger")</f>
        <v>0</v>
      </c>
      <c r="C6" s="8" t="n">
        <f aca="false">SUMIFS($J$10:$J$26,$B$10:$B$26,"Muški ITF")</f>
        <v>0</v>
      </c>
      <c r="D6" s="8" t="n">
        <f aca="false">SUMIFS($J$10:$J$26,$B$10:$B$26,"WTA 125")</f>
        <v>-2242</v>
      </c>
      <c r="E6" s="8" t="n">
        <f aca="false">SUMIFS($J$10:$J$26,$B$10:$B$26,"WTA Tour")</f>
        <v>0</v>
      </c>
      <c r="F6" s="8" t="n">
        <f aca="false">SUMIFS($J$10:$J$26,$B$10:$B$26,"ATP Tour")</f>
        <v>0</v>
      </c>
    </row>
    <row r="7" customFormat="false" ht="25.5" hidden="false" customHeight="true" outlineLevel="0" collapsed="false">
      <c r="A7" s="7" t="str">
        <f aca="false">IF((SUMIFS($H$10:$H$26,$B$10:$B$26,"Ženski ITF",$I$10:$I$26,"Dobijeno")+SUMIFS($H$10:$H$26,$B$10:$B$26,"Ženski ITF",$I$10:$I$26,"Izgubljeno"))&gt;0,"ROI "&amp;TEXT(SUMIFS($J$10:$J$26,$B$10:$B$26,"Ženski ITF")/(SUMIFS($H$10:$H$26,$B$10:$B$26,"Ženski ITF",$I$10:$I$26,"Dobijeno")+SUMIFS($H$10:$H$26,$B$10:$B$26,"Ženski ITF",$I$10:$I$26,"Izgubljeno")),"0.0%")&amp;" · ","")&amp;COUNTIFS($B$10:$B$26,"Ženski ITF",$I$10:$I$26,"Dobijeno")&amp;"–"&amp;COUNTIFS($B$10:$B$26,"Ženski ITF",$I$10:$I$26,"Izgubljeno")&amp;" od "&amp;COUNTIFS($B$10:$B$26,"Ženski ITF")</f>
        <v>0–0 od 0</v>
      </c>
      <c r="B7" s="7" t="str">
        <f aca="false">IF((SUMIFS($H$10:$H$26,$B$10:$B$26,"Muški Challenger",$I$10:$I$26,"Dobijeno")+SUMIFS($H$10:$H$26,$B$10:$B$26,"Muški Challenger",$I$10:$I$26,"Izgubljeno"))&gt;0,"ROI "&amp;TEXT(SUMIFS($J$10:$J$26,$B$10:$B$26,"Muški Challenger")/(SUMIFS($H$10:$H$26,$B$10:$B$26,"Muški Challenger",$I$10:$I$26,"Dobijeno")+SUMIFS($H$10:$H$26,$B$10:$B$26,"Muški Challenger",$I$10:$I$26,"Izgubljeno")),"0.0%")&amp;" · ","")&amp;COUNTIFS($B$10:$B$26,"Muški Challenger",$I$10:$I$26,"Dobijeno")&amp;"–"&amp;COUNTIFS($B$10:$B$26,"Muški Challenger",$I$10:$I$26,"Izgubljeno")&amp;" od "&amp;COUNTIFS($B$10:$B$26,"Muški Challenger")</f>
        <v>0–0 od 8</v>
      </c>
      <c r="C7" s="7" t="str">
        <f aca="false">IF((SUMIFS($H$10:$H$26,$B$10:$B$26,"Muški ITF",$I$10:$I$26,"Dobijeno")+SUMIFS($H$10:$H$26,$B$10:$B$26,"Muški ITF",$I$10:$I$26,"Izgubljeno"))&gt;0,"ROI "&amp;TEXT(SUMIFS($J$10:$J$26,$B$10:$B$26,"Muški ITF")/(SUMIFS($H$10:$H$26,$B$10:$B$26,"Muški ITF",$I$10:$I$26,"Dobijeno")+SUMIFS($H$10:$H$26,$B$10:$B$26,"Muški ITF",$I$10:$I$26,"Izgubljeno")),"0.0%")&amp;" · ","")&amp;COUNTIFS($B$10:$B$26,"Muški ITF",$I$10:$I$26,"Dobijeno")&amp;"–"&amp;COUNTIFS($B$10:$B$26,"Muški ITF",$I$10:$I$26,"Izgubljeno")&amp;" od "&amp;COUNTIFS($B$10:$B$26,"Muški ITF")</f>
        <v>0–0 od 1</v>
      </c>
      <c r="D7" s="7" t="str">
        <f aca="false">IF((SUMIFS($H$10:$H$26,$B$10:$B$26,"WTA 125",$I$10:$I$26,"Dobijeno")+SUMIFS($H$10:$H$26,$B$10:$B$26,"WTA 125",$I$10:$I$26,"Izgubljeno"))&gt;0,"ROI "&amp;TEXT(SUMIFS($J$10:$J$26,$B$10:$B$26,"WTA 125")/(SUMIFS($H$10:$H$26,$B$10:$B$26,"WTA 125",$I$10:$I$26,"Dobijeno")+SUMIFS($H$10:$H$26,$B$10:$B$26,"WTA 125",$I$10:$I$26,"Izgubljeno")),"0.0%")&amp;" · ","")&amp;COUNTIFS($B$10:$B$26,"WTA 125",$I$10:$I$26,"Dobijeno")&amp;"–"&amp;COUNTIFS($B$10:$B$26,"WTA 125",$I$10:$I$26,"Izgubljeno")&amp;" od "&amp;COUNTIFS($B$10:$B$26,"WTA 125")</f>
        <v>ROI -100.0% · 0–1 od 8</v>
      </c>
      <c r="E7" s="7" t="str">
        <f aca="false">IF((SUMIFS($H$10:$H$26,$B$10:$B$26,"WTA Tour",$I$10:$I$26,"Dobijeno")+SUMIFS($H$10:$H$26,$B$10:$B$26,"WTA Tour",$I$10:$I$26,"Izgubljeno"))&gt;0,"ROI "&amp;TEXT(SUMIFS($J$10:$J$26,$B$10:$B$26,"WTA Tour")/(SUMIFS($H$10:$H$26,$B$10:$B$26,"WTA Tour",$I$10:$I$26,"Dobijeno")+SUMIFS($H$10:$H$26,$B$10:$B$26,"WTA Tour",$I$10:$I$26,"Izgubljeno")),"0.0%")&amp;" · ","")&amp;COUNTIFS($B$10:$B$26,"WTA Tour",$I$10:$I$26,"Dobijeno")&amp;"–"&amp;COUNTIFS($B$10:$B$26,"WTA Tour",$I$10:$I$26,"Izgubljeno")&amp;" od "&amp;COUNTIFS($B$10:$B$26,"WTA Tour")</f>
        <v>0–0 od 0</v>
      </c>
      <c r="F7" s="7" t="str">
        <f aca="false">IF((SUMIFS($H$10:$H$26,$B$10:$B$26,"ATP Tour",$I$10:$I$26,"Dobijeno")+SUMIFS($H$10:$H$26,$B$10:$B$26,"ATP Tour",$I$10:$I$26,"Izgubljeno"))&gt;0,"ROI "&amp;TEXT(SUMIFS($J$10:$J$26,$B$10:$B$26,"ATP Tour")/(SUMIFS($H$10:$H$26,$B$10:$B$26,"ATP Tour",$I$10:$I$26,"Dobijeno")+SUMIFS($H$10:$H$26,$B$10:$B$26,"ATP Tour",$I$10:$I$26,"Izgubljeno")),"0.0%")&amp;" · ","")&amp;COUNTIFS($B$10:$B$26,"ATP Tour",$I$10:$I$26,"Dobijeno")&amp;"–"&amp;COUNTIFS($B$10:$B$26,"ATP Tour",$I$10:$I$26,"Izgubljeno")&amp;" od "&amp;COUNTIFS($B$10:$B$26,"ATP Tour")</f>
        <v>0–0 od 0</v>
      </c>
    </row>
    <row r="9" customFormat="false" ht="19.5" hidden="false" customHeight="true" outlineLevel="0" collapsed="false">
      <c r="A9" s="9" t="s">
        <v>14</v>
      </c>
      <c r="B9" s="9" t="s">
        <v>15</v>
      </c>
      <c r="C9" s="9" t="s">
        <v>16</v>
      </c>
      <c r="D9" s="9" t="s">
        <v>17</v>
      </c>
      <c r="E9" s="9" t="s">
        <v>18</v>
      </c>
      <c r="F9" s="10" t="s">
        <v>19</v>
      </c>
      <c r="G9" s="9" t="s">
        <v>20</v>
      </c>
      <c r="H9" s="10" t="s">
        <v>21</v>
      </c>
      <c r="I9" s="9" t="s">
        <v>22</v>
      </c>
      <c r="J9" s="10" t="s">
        <v>3</v>
      </c>
    </row>
    <row r="10" customFormat="false" ht="18" hidden="false" customHeight="true" outlineLevel="0" collapsed="false">
      <c r="A10" s="11" t="n">
        <v>46306.625</v>
      </c>
      <c r="B10" s="12" t="s">
        <v>11</v>
      </c>
      <c r="C10" s="12" t="s">
        <v>23</v>
      </c>
      <c r="D10" s="12" t="s">
        <v>24</v>
      </c>
      <c r="E10" s="12" t="s">
        <v>25</v>
      </c>
      <c r="F10" s="13" t="n">
        <v>1.95</v>
      </c>
      <c r="G10" s="12" t="s">
        <v>26</v>
      </c>
      <c r="H10" s="14" t="n">
        <v>2242</v>
      </c>
      <c r="I10" s="12" t="s">
        <v>6</v>
      </c>
      <c r="J10" s="15" t="n">
        <f aca="false">IF(I10="Dobijeno",H10*(F10-1),IF(I10="Izgubljeno",-H10,IF(I10="Povraćaj",0,"")))</f>
        <v>-2242</v>
      </c>
    </row>
    <row r="11" customFormat="false" ht="18" hidden="false" customHeight="true" outlineLevel="0" collapsed="false">
      <c r="A11" s="16" t="n">
        <v>46307.1666666667</v>
      </c>
      <c r="B11" s="17" t="s">
        <v>9</v>
      </c>
      <c r="C11" s="17" t="s">
        <v>27</v>
      </c>
      <c r="D11" s="17" t="s">
        <v>28</v>
      </c>
      <c r="E11" s="17" t="s">
        <v>29</v>
      </c>
      <c r="F11" s="18" t="n">
        <v>2.75</v>
      </c>
      <c r="G11" s="17" t="s">
        <v>30</v>
      </c>
      <c r="H11" s="19" t="n">
        <v>734</v>
      </c>
      <c r="I11" s="20" t="s">
        <v>7</v>
      </c>
      <c r="J11" s="21" t="str">
        <f aca="false">IF(I11="Dobijeno",H11*(F11-1),IF(I11="Izgubljeno",-H11,IF(I11="Povraćaj",0,"")))</f>
        <v/>
      </c>
    </row>
    <row r="12" customFormat="false" ht="18" hidden="false" customHeight="true" outlineLevel="0" collapsed="false">
      <c r="A12" s="11" t="n">
        <v>46307.4166666667</v>
      </c>
      <c r="B12" s="12" t="s">
        <v>11</v>
      </c>
      <c r="C12" s="12" t="s">
        <v>31</v>
      </c>
      <c r="D12" s="12" t="s">
        <v>32</v>
      </c>
      <c r="E12" s="12" t="s">
        <v>33</v>
      </c>
      <c r="F12" s="13" t="n">
        <v>4.33</v>
      </c>
      <c r="G12" s="12" t="s">
        <v>34</v>
      </c>
      <c r="H12" s="14" t="n">
        <v>748</v>
      </c>
      <c r="I12" s="22" t="s">
        <v>7</v>
      </c>
      <c r="J12" s="15" t="str">
        <f aca="false">IF(I12="Dobijeno",H12*(F12-1),IF(I12="Izgubljeno",-H12,IF(I12="Povraćaj",0,"")))</f>
        <v/>
      </c>
    </row>
    <row r="13" customFormat="false" ht="18" hidden="false" customHeight="true" outlineLevel="0" collapsed="false">
      <c r="A13" s="16" t="n">
        <v>46307.4166666667</v>
      </c>
      <c r="B13" s="17" t="s">
        <v>11</v>
      </c>
      <c r="C13" s="17" t="s">
        <v>31</v>
      </c>
      <c r="D13" s="17" t="s">
        <v>35</v>
      </c>
      <c r="E13" s="17" t="s">
        <v>36</v>
      </c>
      <c r="F13" s="18" t="n">
        <v>3.75</v>
      </c>
      <c r="G13" s="17" t="s">
        <v>30</v>
      </c>
      <c r="H13" s="19" t="n">
        <v>944</v>
      </c>
      <c r="I13" s="20" t="s">
        <v>7</v>
      </c>
      <c r="J13" s="21" t="str">
        <f aca="false">IF(I13="Dobijeno",H13*(F13-1),IF(I13="Izgubljeno",-H13,IF(I13="Povraćaj",0,"")))</f>
        <v/>
      </c>
    </row>
    <row r="14" customFormat="false" ht="18" hidden="false" customHeight="true" outlineLevel="0" collapsed="false">
      <c r="A14" s="11" t="n">
        <v>46307.4166666667</v>
      </c>
      <c r="B14" s="12" t="s">
        <v>11</v>
      </c>
      <c r="C14" s="12" t="s">
        <v>31</v>
      </c>
      <c r="D14" s="12" t="s">
        <v>37</v>
      </c>
      <c r="E14" s="12" t="s">
        <v>38</v>
      </c>
      <c r="F14" s="13" t="n">
        <v>1.95</v>
      </c>
      <c r="G14" s="12" t="s">
        <v>39</v>
      </c>
      <c r="H14" s="14" t="n">
        <v>3878</v>
      </c>
      <c r="I14" s="22" t="s">
        <v>7</v>
      </c>
      <c r="J14" s="15" t="str">
        <f aca="false">IF(I14="Dobijeno",H14*(F14-1),IF(I14="Izgubljeno",-H14,IF(I14="Povraćaj",0,"")))</f>
        <v/>
      </c>
    </row>
    <row r="15" customFormat="false" ht="18" hidden="false" customHeight="true" outlineLevel="0" collapsed="false">
      <c r="A15" s="16" t="n">
        <v>46307.4166666667</v>
      </c>
      <c r="B15" s="17" t="s">
        <v>9</v>
      </c>
      <c r="C15" s="17" t="s">
        <v>40</v>
      </c>
      <c r="D15" s="17" t="s">
        <v>41</v>
      </c>
      <c r="E15" s="17" t="s">
        <v>42</v>
      </c>
      <c r="F15" s="18" t="n">
        <v>1.29</v>
      </c>
      <c r="G15" s="17" t="s">
        <v>43</v>
      </c>
      <c r="H15" s="19" t="n">
        <v>4408</v>
      </c>
      <c r="I15" s="20" t="s">
        <v>7</v>
      </c>
      <c r="J15" s="21" t="str">
        <f aca="false">IF(I15="Dobijeno",H15*(F15-1),IF(I15="Izgubljeno",-H15,IF(I15="Povraćaj",0,"")))</f>
        <v/>
      </c>
    </row>
    <row r="16" customFormat="false" ht="18" hidden="false" customHeight="true" outlineLevel="0" collapsed="false">
      <c r="A16" s="11" t="n">
        <v>46307.4166666667</v>
      </c>
      <c r="B16" s="12" t="s">
        <v>9</v>
      </c>
      <c r="C16" s="12" t="s">
        <v>44</v>
      </c>
      <c r="D16" s="12" t="s">
        <v>45</v>
      </c>
      <c r="E16" s="12" t="s">
        <v>46</v>
      </c>
      <c r="F16" s="13" t="n">
        <v>1.7</v>
      </c>
      <c r="G16" s="12" t="s">
        <v>47</v>
      </c>
      <c r="H16" s="14" t="n">
        <v>3190</v>
      </c>
      <c r="I16" s="22" t="s">
        <v>7</v>
      </c>
      <c r="J16" s="15" t="str">
        <f aca="false">IF(I16="Dobijeno",H16*(F16-1),IF(I16="Izgubljeno",-H16,IF(I16="Povraćaj",0,"")))</f>
        <v/>
      </c>
    </row>
    <row r="17" customFormat="false" ht="18" hidden="false" customHeight="true" outlineLevel="0" collapsed="false">
      <c r="A17" s="16" t="n">
        <v>46307.4166666667</v>
      </c>
      <c r="B17" s="17" t="s">
        <v>9</v>
      </c>
      <c r="C17" s="17" t="s">
        <v>40</v>
      </c>
      <c r="D17" s="17" t="s">
        <v>48</v>
      </c>
      <c r="E17" s="17" t="s">
        <v>49</v>
      </c>
      <c r="F17" s="18" t="n">
        <v>1.36</v>
      </c>
      <c r="G17" s="17" t="s">
        <v>50</v>
      </c>
      <c r="H17" s="19" t="n">
        <v>3763</v>
      </c>
      <c r="I17" s="20" t="s">
        <v>7</v>
      </c>
      <c r="J17" s="21" t="str">
        <f aca="false">IF(I17="Dobijeno",H17*(F17-1),IF(I17="Izgubljeno",-H17,IF(I17="Povraćaj",0,"")))</f>
        <v/>
      </c>
    </row>
    <row r="18" customFormat="false" ht="18" hidden="false" customHeight="true" outlineLevel="0" collapsed="false">
      <c r="A18" s="11" t="n">
        <v>46307.4166666667</v>
      </c>
      <c r="B18" s="12" t="s">
        <v>11</v>
      </c>
      <c r="C18" s="12" t="s">
        <v>51</v>
      </c>
      <c r="D18" s="12" t="s">
        <v>52</v>
      </c>
      <c r="E18" s="12" t="s">
        <v>53</v>
      </c>
      <c r="F18" s="13" t="n">
        <v>1.33</v>
      </c>
      <c r="G18" s="12" t="s">
        <v>39</v>
      </c>
      <c r="H18" s="14" t="n">
        <v>4824</v>
      </c>
      <c r="I18" s="22" t="s">
        <v>7</v>
      </c>
      <c r="J18" s="15" t="str">
        <f aca="false">IF(I18="Dobijeno",H18*(F18-1),IF(I18="Izgubljeno",-H18,IF(I18="Povraćaj",0,"")))</f>
        <v/>
      </c>
    </row>
    <row r="19" customFormat="false" ht="18" hidden="false" customHeight="true" outlineLevel="0" collapsed="false">
      <c r="A19" s="16" t="n">
        <v>46307.4583333333</v>
      </c>
      <c r="B19" s="17" t="s">
        <v>11</v>
      </c>
      <c r="C19" s="17" t="s">
        <v>54</v>
      </c>
      <c r="D19" s="17" t="s">
        <v>55</v>
      </c>
      <c r="E19" s="17" t="s">
        <v>56</v>
      </c>
      <c r="F19" s="18" t="n">
        <v>2.2</v>
      </c>
      <c r="G19" s="17" t="s">
        <v>26</v>
      </c>
      <c r="H19" s="19" t="n">
        <v>1474</v>
      </c>
      <c r="I19" s="20" t="s">
        <v>7</v>
      </c>
      <c r="J19" s="21" t="str">
        <f aca="false">IF(I19="Dobijeno",H19*(F19-1),IF(I19="Izgubljeno",-H19,IF(I19="Povraćaj",0,"")))</f>
        <v/>
      </c>
    </row>
    <row r="20" customFormat="false" ht="18" hidden="false" customHeight="true" outlineLevel="0" collapsed="false">
      <c r="A20" s="11" t="n">
        <v>46307.4791666667</v>
      </c>
      <c r="B20" s="12" t="s">
        <v>9</v>
      </c>
      <c r="C20" s="12" t="s">
        <v>44</v>
      </c>
      <c r="D20" s="12" t="s">
        <v>57</v>
      </c>
      <c r="E20" s="12" t="s">
        <v>58</v>
      </c>
      <c r="F20" s="13" t="n">
        <v>1.67</v>
      </c>
      <c r="G20" s="12" t="s">
        <v>59</v>
      </c>
      <c r="H20" s="14" t="n">
        <v>2464</v>
      </c>
      <c r="I20" s="22" t="s">
        <v>7</v>
      </c>
      <c r="J20" s="15" t="str">
        <f aca="false">IF(I20="Dobijeno",H20*(F20-1),IF(I20="Izgubljeno",-H20,IF(I20="Povraćaj",0,"")))</f>
        <v/>
      </c>
    </row>
    <row r="21" customFormat="false" ht="18" hidden="false" customHeight="true" outlineLevel="0" collapsed="false">
      <c r="A21" s="16" t="n">
        <v>46307.5</v>
      </c>
      <c r="B21" s="17" t="s">
        <v>11</v>
      </c>
      <c r="C21" s="17" t="s">
        <v>23</v>
      </c>
      <c r="D21" s="17" t="s">
        <v>60</v>
      </c>
      <c r="E21" s="17" t="s">
        <v>61</v>
      </c>
      <c r="F21" s="18" t="n">
        <v>3</v>
      </c>
      <c r="G21" s="17" t="s">
        <v>62</v>
      </c>
      <c r="H21" s="19" t="n">
        <v>770</v>
      </c>
      <c r="I21" s="20" t="s">
        <v>7</v>
      </c>
      <c r="J21" s="21" t="str">
        <f aca="false">IF(I21="Dobijeno",H21*(F21-1),IF(I21="Izgubljeno",-H21,IF(I21="Povraćaj",0,"")))</f>
        <v/>
      </c>
    </row>
    <row r="22" customFormat="false" ht="18" hidden="false" customHeight="true" outlineLevel="0" collapsed="false">
      <c r="A22" s="11" t="n">
        <v>46307.5416666667</v>
      </c>
      <c r="B22" s="12" t="s">
        <v>9</v>
      </c>
      <c r="C22" s="12" t="s">
        <v>63</v>
      </c>
      <c r="D22" s="12" t="s">
        <v>64</v>
      </c>
      <c r="E22" s="12" t="s">
        <v>65</v>
      </c>
      <c r="F22" s="13" t="n">
        <v>2.29</v>
      </c>
      <c r="G22" s="12" t="s">
        <v>43</v>
      </c>
      <c r="H22" s="14" t="n">
        <v>1030</v>
      </c>
      <c r="I22" s="22" t="s">
        <v>7</v>
      </c>
      <c r="J22" s="15" t="str">
        <f aca="false">IF(I22="Dobijeno",H22*(F22-1),IF(I22="Izgubljeno",-H22,IF(I22="Povraćaj",0,"")))</f>
        <v/>
      </c>
    </row>
    <row r="23" customFormat="false" ht="18" hidden="false" customHeight="true" outlineLevel="0" collapsed="false">
      <c r="A23" s="16" t="n">
        <v>46307.5416666667</v>
      </c>
      <c r="B23" s="17" t="s">
        <v>10</v>
      </c>
      <c r="C23" s="17" t="s">
        <v>66</v>
      </c>
      <c r="D23" s="17" t="s">
        <v>67</v>
      </c>
      <c r="E23" s="17" t="s">
        <v>68</v>
      </c>
      <c r="F23" s="18" t="n">
        <v>2.25</v>
      </c>
      <c r="G23" s="17" t="s">
        <v>26</v>
      </c>
      <c r="H23" s="19" t="n">
        <v>2259</v>
      </c>
      <c r="I23" s="20" t="s">
        <v>7</v>
      </c>
      <c r="J23" s="21" t="str">
        <f aca="false">IF(I23="Dobijeno",H23*(F23-1),IF(I23="Izgubljeno",-H23,IF(I23="Povraćaj",0,"")))</f>
        <v/>
      </c>
    </row>
    <row r="24" customFormat="false" ht="18" hidden="false" customHeight="true" outlineLevel="0" collapsed="false">
      <c r="A24" s="11" t="n">
        <v>46308.4166666667</v>
      </c>
      <c r="B24" s="12" t="s">
        <v>9</v>
      </c>
      <c r="C24" s="12" t="s">
        <v>63</v>
      </c>
      <c r="D24" s="12" t="s">
        <v>69</v>
      </c>
      <c r="E24" s="12" t="s">
        <v>70</v>
      </c>
      <c r="F24" s="13" t="n">
        <v>3</v>
      </c>
      <c r="G24" s="12" t="s">
        <v>30</v>
      </c>
      <c r="H24" s="14" t="n">
        <v>799</v>
      </c>
      <c r="I24" s="22" t="s">
        <v>7</v>
      </c>
      <c r="J24" s="15" t="str">
        <f aca="false">IF(I24="Dobijeno",H24*(F24-1),IF(I24="Izgubljeno",-H24,IF(I24="Povraćaj",0,"")))</f>
        <v/>
      </c>
    </row>
    <row r="25" customFormat="false" ht="18" hidden="false" customHeight="true" outlineLevel="0" collapsed="false">
      <c r="A25" s="16" t="n">
        <v>46308.4583333333</v>
      </c>
      <c r="B25" s="17" t="s">
        <v>11</v>
      </c>
      <c r="C25" s="17" t="s">
        <v>71</v>
      </c>
      <c r="D25" s="17" t="s">
        <v>72</v>
      </c>
      <c r="E25" s="17" t="s">
        <v>73</v>
      </c>
      <c r="F25" s="18" t="n">
        <v>1.67</v>
      </c>
      <c r="G25" s="17" t="s">
        <v>39</v>
      </c>
      <c r="H25" s="19" t="n">
        <v>2201</v>
      </c>
      <c r="I25" s="20" t="s">
        <v>7</v>
      </c>
      <c r="J25" s="21" t="str">
        <f aca="false">IF(I25="Dobijeno",H25*(F25-1),IF(I25="Izgubljeno",-H25,IF(I25="Povraćaj",0,"")))</f>
        <v/>
      </c>
    </row>
    <row r="26" customFormat="false" ht="18" hidden="false" customHeight="true" outlineLevel="0" collapsed="false">
      <c r="A26" s="11" t="n">
        <v>46308.4583333333</v>
      </c>
      <c r="B26" s="12" t="s">
        <v>9</v>
      </c>
      <c r="C26" s="12" t="s">
        <v>74</v>
      </c>
      <c r="D26" s="12" t="s">
        <v>75</v>
      </c>
      <c r="E26" s="12" t="s">
        <v>76</v>
      </c>
      <c r="F26" s="13" t="n">
        <v>1.8</v>
      </c>
      <c r="G26" s="12" t="s">
        <v>39</v>
      </c>
      <c r="H26" s="14" t="n">
        <v>1843</v>
      </c>
      <c r="I26" s="22" t="s">
        <v>7</v>
      </c>
      <c r="J26" s="15" t="str">
        <f aca="false">IF(I26="Dobijeno",H26*(F26-1),IF(I26="Izgubljeno",-H26,IF(I26="Povraćaj",0,"")))</f>
        <v/>
      </c>
    </row>
  </sheetData>
  <autoFilter ref="A9:J26"/>
  <conditionalFormatting sqref="J10:J26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2026-10-11T20:44:44Z</dcterms:created>
  <dc:creator>openpyxl</dc:creator>
  <dc:description/>
  <dc:language>en-US</dc:language>
  <cp:lastModifiedBy/>
  <dcterms:modified xsi:type="dcterms:W3CDTF">2026-10-11T20:44:44Z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