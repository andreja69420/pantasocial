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pklade" sheetId="1" state="visible" r:id="rId1"/>
    <sheet xmlns:r="http://schemas.openxmlformats.org/officeDocument/2006/relationships" name="Ukupn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.mm. HH:MM"/>
    <numFmt numFmtId="166" formatCode="0.0%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1" fillId="3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16" customWidth="1" min="3" max="3"/>
    <col width="11" customWidth="1" min="4" max="4"/>
    <col width="34" customWidth="1" min="5" max="5"/>
    <col width="22" customWidth="1" min="6" max="6"/>
    <col width="22" customWidth="1" min="7" max="7"/>
    <col width="13" customWidth="1" min="8" max="8"/>
    <col width="9" customWidth="1" min="9" max="9"/>
    <col width="8" customWidth="1" min="10" max="10"/>
    <col width="9" customWidth="1" min="11" max="11"/>
    <col width="10" customWidth="1" min="12" max="12"/>
    <col width="10" customWidth="1" min="13" max="13"/>
    <col width="11" customWidth="1" min="14" max="14"/>
    <col width="9" customWidth="1" min="15" max="15"/>
    <col width="10" customWidth="1" min="16" max="16"/>
    <col width="13" customWidth="1" min="17" max="17"/>
    <col width="13" customWidth="1" min="18" max="18"/>
    <col width="12" customWidth="1" min="19" max="19"/>
    <col width="12" customWidth="1" min="20" max="20"/>
  </cols>
  <sheetData>
    <row r="1">
      <c r="A1" s="1" t="inlineStr">
        <is>
          <t>Početna banka (din)</t>
        </is>
      </c>
      <c r="B1" s="2" t="n">
        <v>100000</v>
      </c>
      <c r="C1" t="inlineStr">
        <is>
          <t>&lt;- početni kapital; svaka opklada je 1/4 Kelly procenat banke u trenutku opklade (banka raste i pada)</t>
        </is>
      </c>
    </row>
    <row r="3">
      <c r="A3" s="3" t="inlineStr">
        <is>
          <t>#</t>
        </is>
      </c>
      <c r="B3" s="3" t="inlineStr">
        <is>
          <t>Početak (Beograd)</t>
        </is>
      </c>
      <c r="C3" s="3" t="inlineStr">
        <is>
          <t>Kategorija</t>
        </is>
      </c>
      <c r="D3" s="3" t="inlineStr">
        <is>
          <t>U planu</t>
        </is>
      </c>
      <c r="E3" s="3" t="inlineStr">
        <is>
          <t>Turnir</t>
        </is>
      </c>
      <c r="F3" s="3" t="inlineStr">
        <is>
          <t>Igramo na</t>
        </is>
      </c>
      <c r="G3" s="3" t="inlineStr">
        <is>
          <t>Protivnik</t>
        </is>
      </c>
      <c r="H3" s="3" t="inlineStr">
        <is>
          <t>Kladionica</t>
        </is>
      </c>
      <c r="I3" s="3" t="inlineStr">
        <is>
          <t>Kvota (početna)</t>
        </is>
      </c>
      <c r="J3" s="3" t="inlineStr">
        <is>
          <t>Model %</t>
        </is>
      </c>
      <c r="K3" s="3" t="inlineStr">
        <is>
          <t>Prednost (EV)</t>
        </is>
      </c>
      <c r="L3" s="3" t="inlineStr">
        <is>
          <t>1/4 Kelly % banke</t>
        </is>
      </c>
      <c r="M3" s="3" t="inlineStr">
        <is>
          <t>Ulog (din)</t>
        </is>
      </c>
      <c r="N3" s="3" t="inlineStr">
        <is>
          <t>Kvota sada / pred meč</t>
        </is>
      </c>
      <c r="O3" s="3" t="inlineStr">
        <is>
          <t>Rezultat (W/L/V)</t>
        </is>
      </c>
      <c r="P3" s="3" t="inlineStr">
        <is>
          <t>Dobit (din)</t>
        </is>
      </c>
      <c r="Q3" s="3" t="inlineStr">
        <is>
          <t>Status</t>
        </is>
      </c>
      <c r="R3" s="3" t="inlineStr">
        <is>
          <t>Upisano (Beograd)</t>
        </is>
      </c>
      <c r="S3" s="3" t="inlineStr">
        <is>
          <t>Banka pri opkladi</t>
        </is>
      </c>
      <c r="T3" s="3" t="inlineStr">
        <is>
          <t>Kraj (procena)</t>
        </is>
      </c>
    </row>
    <row r="4">
      <c r="A4" t="n">
        <v>1</v>
      </c>
      <c r="B4" s="4" t="n">
        <v>46306.45833333334</v>
      </c>
      <c r="C4" t="inlineStr">
        <is>
          <t>Muški Challenger</t>
        </is>
      </c>
      <c r="D4" t="inlineStr">
        <is>
          <t>DA</t>
        </is>
      </c>
      <c r="E4" t="inlineStr">
        <is>
          <t>Catania (Italy) - Qualification, clay</t>
        </is>
      </c>
      <c r="F4" t="inlineStr">
        <is>
          <t>Jones Maximus</t>
        </is>
      </c>
      <c r="G4" t="inlineStr">
        <is>
          <t>Gima Sebastian</t>
        </is>
      </c>
      <c r="H4" t="inlineStr">
        <is>
          <t>Betway</t>
        </is>
      </c>
      <c r="I4" t="n">
        <v>2.6</v>
      </c>
      <c r="J4" s="5" t="n">
        <v>0.416358743710245</v>
      </c>
      <c r="K4" s="5" t="n">
        <v>0.08253273364663705</v>
      </c>
      <c r="L4" s="5" t="n">
        <v>0.01289573963228704</v>
      </c>
      <c r="M4" s="6">
        <f>ROUND(S4*L4,0)</f>
        <v/>
      </c>
      <c r="N4" t="n">
        <v>2.75</v>
      </c>
      <c r="O4" t="inlineStr"/>
      <c r="P4" s="6">
        <f>IF(O4="W",M4*(I4-1),IF(O4="L",-M4,IF(O4="V",0,"")))</f>
        <v/>
      </c>
      <c r="Q4" t="inlineStr">
        <is>
          <t>u toku / počeo</t>
        </is>
      </c>
      <c r="R4" s="4" t="n">
        <v>46306.4289088845</v>
      </c>
      <c r="S4" s="6">
        <f>$B$1+SUMIFS($P$4:$P$6,$T$4:$T$6,"&lt;="&amp;R4)</f>
        <v/>
      </c>
      <c r="T4" s="4">
        <f>B4+3/24</f>
        <v/>
      </c>
    </row>
    <row r="5">
      <c r="A5" t="n">
        <v>2</v>
      </c>
      <c r="B5" s="4" t="n">
        <v>46306.60416666666</v>
      </c>
      <c r="C5" t="inlineStr">
        <is>
          <t>Muški Challenger</t>
        </is>
      </c>
      <c r="D5" t="inlineStr">
        <is>
          <t>DA</t>
        </is>
      </c>
      <c r="E5" t="inlineStr">
        <is>
          <t>Roanne (France) - Qualification, hard (indoor)</t>
        </is>
      </c>
      <c r="F5" t="inlineStr">
        <is>
          <t>Paul Jakub</t>
        </is>
      </c>
      <c r="G5" t="inlineStr">
        <is>
          <t>Mcdonald Niels</t>
        </is>
      </c>
      <c r="H5" t="inlineStr">
        <is>
          <t>Betway</t>
        </is>
      </c>
      <c r="I5" t="n">
        <v>1.95</v>
      </c>
      <c r="J5" s="5" t="n">
        <v>0.5391505264117362</v>
      </c>
      <c r="K5" s="5" t="n">
        <v>0.05134352650288565</v>
      </c>
      <c r="L5" s="5" t="n">
        <v>0.01351145434286465</v>
      </c>
      <c r="M5" s="6">
        <f>ROUND(S5*L5,0)</f>
        <v/>
      </c>
      <c r="N5" t="n">
        <v>1.83</v>
      </c>
      <c r="O5" t="inlineStr"/>
      <c r="P5" s="6">
        <f>IF(O5="W",M5*(I5-1),IF(O5="L",-M5,IF(O5="V",0,"")))</f>
        <v/>
      </c>
      <c r="Q5" t="inlineStr">
        <is>
          <t>čeka</t>
        </is>
      </c>
      <c r="R5" s="4" t="n">
        <v>46306.45183522988</v>
      </c>
      <c r="S5" s="6">
        <f>$B$1+SUMIFS($P$4:$P$6,$T$4:$T$6,"&lt;="&amp;R5)</f>
        <v/>
      </c>
      <c r="T5" s="4">
        <f>B5+3/24</f>
        <v/>
      </c>
    </row>
    <row r="6">
      <c r="A6" t="n">
        <v>3</v>
      </c>
      <c r="B6" s="4" t="n">
        <v>46307.16666666666</v>
      </c>
      <c r="C6" t="inlineStr">
        <is>
          <t>Muški Challenger</t>
        </is>
      </c>
      <c r="D6" t="inlineStr">
        <is>
          <t>DA</t>
        </is>
      </c>
      <c r="E6" t="inlineStr">
        <is>
          <t>Jinan (China), hard</t>
        </is>
      </c>
      <c r="F6" t="inlineStr">
        <is>
          <t>Kopriva Vit</t>
        </is>
      </c>
      <c r="G6" t="inlineStr">
        <is>
          <t>Kotov Pavel</t>
        </is>
      </c>
      <c r="H6" t="inlineStr">
        <is>
          <t>10bet</t>
        </is>
      </c>
      <c r="I6" t="n">
        <v>2.75</v>
      </c>
      <c r="J6" s="5" t="n">
        <v>0.3818474345315025</v>
      </c>
      <c r="K6" s="5" t="n">
        <v>0.05008044496163189</v>
      </c>
      <c r="L6" s="5" t="n">
        <v>0.007154349280233127</v>
      </c>
      <c r="M6" s="6">
        <f>ROUND(S6*L6,0)</f>
        <v/>
      </c>
      <c r="N6" t="n">
        <v>2.75</v>
      </c>
      <c r="O6" t="inlineStr"/>
      <c r="P6" s="6">
        <f>IF(O6="W",M6*(I6-1),IF(O6="L",-M6,IF(O6="V",0,"")))</f>
        <v/>
      </c>
      <c r="Q6" t="inlineStr">
        <is>
          <t>čeka</t>
        </is>
      </c>
      <c r="R6" s="4" t="n">
        <v>46306.41939308465</v>
      </c>
      <c r="S6" s="6">
        <f>$B$1+SUMIFS($P$4:$P$6,$T$4:$T$6,"&lt;="&amp;R6)</f>
        <v/>
      </c>
      <c r="T6" s="4">
        <f>B6+3/24</f>
        <v/>
      </c>
    </row>
  </sheetData>
  <conditionalFormatting sqref="P4:P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B12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</cols>
  <sheetData>
    <row r="2">
      <c r="A2" s="1" t="inlineStr">
        <is>
          <t>Opklada ukupno</t>
        </is>
      </c>
      <c r="B2">
        <f>COUNTA(Opklade!F4:F6)</f>
        <v/>
      </c>
    </row>
    <row r="3">
      <c r="A3" s="1" t="inlineStr">
        <is>
          <t>Završeno</t>
        </is>
      </c>
      <c r="B3">
        <f>COUNTIF(Opklade!O4:O6,"W")+COUNTIF(Opklade!O4:O6,"L")+COUNTIF(Opklade!O4:O6,"V")</f>
        <v/>
      </c>
    </row>
    <row r="4">
      <c r="A4" s="1" t="inlineStr">
        <is>
          <t>Dobijeno</t>
        </is>
      </c>
      <c r="B4">
        <f>COUNTIF(Opklade!O4:O6,"W")</f>
        <v/>
      </c>
    </row>
    <row r="5">
      <c r="A5" s="1" t="inlineStr">
        <is>
          <t>Izgubljeno</t>
        </is>
      </c>
      <c r="B5">
        <f>COUNTIF(Opklade!O4:O6,"L")</f>
        <v/>
      </c>
    </row>
    <row r="6">
      <c r="A6" s="1" t="inlineStr">
        <is>
          <t>Uloženo (završene)</t>
        </is>
      </c>
      <c r="B6">
        <f>SUMPRODUCT((Opklade!O4:O6="W")+(Opklade!O4:O6="L"),Opklade!M4:M6)</f>
        <v/>
      </c>
    </row>
    <row r="7">
      <c r="A7" s="1" t="inlineStr">
        <is>
          <t>Dobit</t>
        </is>
      </c>
      <c r="B7">
        <f>SUM(Opklade!P4:P6)</f>
        <v/>
      </c>
    </row>
    <row r="8">
      <c r="A8" s="1" t="inlineStr">
        <is>
          <t>ROI</t>
        </is>
      </c>
      <c r="B8" s="5">
        <f>IF(B6&gt;0,B7/B6,"")</f>
        <v/>
      </c>
    </row>
    <row r="9">
      <c r="A9" s="1" t="inlineStr">
        <is>
          <t>Banka sada (din)</t>
        </is>
      </c>
      <c r="B9">
        <f>Opklade!B1+B7</f>
        <v/>
      </c>
    </row>
    <row r="10">
      <c r="A10" s="1" t="inlineStr">
        <is>
          <t>Igraju se samo: ženski ITF (glavno), muški Challenger, muški ITF</t>
        </is>
      </c>
      <c r="B10" t="inlineStr"/>
    </row>
    <row r="12">
      <c r="A12" t="inlineStr">
        <is>
          <t>Pravilo: kvota se uzima samo dok je još početna; P = σ(0,44·logit(model) + 0,64·logit(fer kvota)); igra se kad je P·kvota − 1 &gt; 5% i kvota ≤ 5. Ulog = 1/4 Kelly = 0,25·(P·kvota − 1)/(kvota − 1) banke u trenutku opklade (početna banka + dobit svih opklada završenih do tada).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2026-10-11T10:39:07Z</dcterms:created>
  <dcterms:modified xmlns:dcterms="http://purl.org/dc/terms/" xmlns:xsi="http://www.w3.org/2001/XMLSchema-instance" xsi:type="dcterms:W3CDTF">2026-10-11T10:39:07Z</dcterms:modified>
</cp:coreProperties>
</file>