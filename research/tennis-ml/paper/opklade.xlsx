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pklade" sheetId="1" state="visible" r:id="rId3"/>
  </sheets>
  <definedNames>
    <definedName function="false" hidden="true" localSheetId="0" name="_xlnm._FilterDatabase" vbProcedure="false">Opklade!$A$5:$N$8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<sst xmlns="http://schemas.openxmlformats.org/spreadsheetml/2006/main" count="43" uniqueCount="37">
  <si>
    <t xml:space="preserve">Opklade</t>
  </si>
  <si>
    <t xml:space="preserve">Početna banka</t>
  </si>
  <si>
    <t xml:space="preserve">Banka sada</t>
  </si>
  <si>
    <t xml:space="preserve">Dobit</t>
  </si>
  <si>
    <t xml:space="preserve">ROI</t>
  </si>
  <si>
    <t xml:space="preserve">Dobijeno</t>
  </si>
  <si>
    <t xml:space="preserve">Izgubljeno</t>
  </si>
  <si>
    <t xml:space="preserve">#</t>
  </si>
  <si>
    <t xml:space="preserve">Početak</t>
  </si>
  <si>
    <t xml:space="preserve">Kategorija</t>
  </si>
  <si>
    <t xml:space="preserve">Turnir</t>
  </si>
  <si>
    <t xml:space="preserve">Igramo na</t>
  </si>
  <si>
    <t xml:space="preserve">Protivnik</t>
  </si>
  <si>
    <t xml:space="preserve">Kladionica</t>
  </si>
  <si>
    <t xml:space="preserve">Kvota</t>
  </si>
  <si>
    <t xml:space="preserve">Verovatnoća</t>
  </si>
  <si>
    <t xml:space="preserve">Prednost</t>
  </si>
  <si>
    <t xml:space="preserve">Ulog</t>
  </si>
  <si>
    <t xml:space="preserve">Rezultat</t>
  </si>
  <si>
    <t xml:space="preserve">Banka pri opkladi</t>
  </si>
  <si>
    <t xml:space="preserve">Kelly</t>
  </si>
  <si>
    <t xml:space="preserve">Upisano</t>
  </si>
  <si>
    <t xml:space="preserve">Obračunato</t>
  </si>
  <si>
    <t xml:space="preserve">Muški Challenger</t>
  </si>
  <si>
    <t xml:space="preserve">Catania (Italy) - Qualification, clay</t>
  </si>
  <si>
    <t xml:space="preserve">Jones Maximus</t>
  </si>
  <si>
    <t xml:space="preserve">Gima Sebastian</t>
  </si>
  <si>
    <t xml:space="preserve">Betway</t>
  </si>
  <si>
    <t xml:space="preserve">Roanne (France) - Qualification, hard (indoor)</t>
  </si>
  <si>
    <t xml:space="preserve">Paul Jakub</t>
  </si>
  <si>
    <t xml:space="preserve">Mcdonald Niels</t>
  </si>
  <si>
    <t xml:space="preserve">U toku</t>
  </si>
  <si>
    <t xml:space="preserve">Jinan (China), hard</t>
  </si>
  <si>
    <t xml:space="preserve">Kopriva Vit</t>
  </si>
  <si>
    <t xml:space="preserve">Kotov Pavel</t>
  </si>
  <si>
    <t xml:space="preserve">10bet</t>
  </si>
  <si>
    <t xml:space="preserve">Čeka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</si>
</sst>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#,##0;[RED]\-#,##0"/>
    <numFmt numFmtId="167" formatCode="0.0%;[RED]\-0.0%"/>
    <numFmt numFmtId="168" formatCode="0"/>
    <numFmt numFmtId="169" formatCode="dd\.mm&quot;. &quot;hh:mm"/>
    <numFmt numFmtId="170" formatCode="@"/>
    <numFmt numFmtId="171" formatCode="0.00"/>
    <numFmt numFmtId="172" formatCode="0.0%"/>
    <numFmt numFmtId="173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3"/>
      <name val="Calibri"/>
      <family val="0"/>
      <charset val="1"/>
    </font>
    <font>
      <sz val="9"/>
      <color rgb="FF7B8794"/>
      <name val="Calibri"/>
      <family val="0"/>
      <charset val="1"/>
    </font>
    <font>
      <b val="true"/>
      <sz val="12"/>
      <color rgb="FF1F2933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1F2933"/>
      <name val="Calibri"/>
      <family val="0"/>
      <charset val="1"/>
    </font>
    <font>
      <sz val="10"/>
      <color rgb="FF7B8794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3B48"/>
        <bgColor rgb="FF1F2933"/>
      </patternFill>
    </fill>
    <fill>
      <patternFill patternType="solid">
        <fgColor rgb="FFF5F7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F3B48"/>
          <bgColor rgb="FF000000"/>
        </patternFill>
      </fill>
    </dxf>
    <dxf>
      <fill>
        <patternFill patternType="solid">
          <fgColor rgb="FFF5F7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B8794"/>
          <bgColor rgb="FF000000"/>
        </patternFill>
      </fill>
    </dxf>
    <dxf>
      <font>
        <name val="Calibri"/>
        <charset val="1"/>
        <family val="0"/>
        <color rgb="FF1E7B34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7B8794"/>
      <rgbColor rgb="FF9999FF"/>
      <rgbColor rgb="FF993366"/>
      <rgbColor rgb="FFF5F7F9"/>
      <rgbColor rgb="FFCCFFFF"/>
      <rgbColor rgb="FF660066"/>
      <rgbColor rgb="FFFF8080"/>
      <rgbColor rgb="FF0066CC"/>
      <rgbColor rgb="FFD9D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2933"/>
      <rgbColor rgb="FF993300"/>
      <rgbColor rgb="FF993366"/>
      <rgbColor rgb="FF333399"/>
      <rgbColor rgb="FF2F3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B3+SUM($M$6:$M$8)</f>
        <v>98710</v>
      </c>
      <c r="D3" s="4" t="n">
        <f aca="false">SUM($M$6:$M$8)</f>
        <v>-1290</v>
      </c>
      <c r="E3" s="5" t="n">
        <f aca="false">IFERROR(SUM($M$6:$M$8)/(SUMIF($L$6:$L$8,"Dobijeno",$K$6:$K$8)+SUMIF($L$6:$L$8,"Izgubljeno",$K$6:$K$8)),"")</f>
        <v>-1</v>
      </c>
      <c r="F3" s="6" t="n">
        <f aca="false">COUNTA($E$6:$E$8)</f>
        <v>3</v>
      </c>
      <c r="G3" s="6" t="n">
        <f aca="false">COUNTIF($L$6:$L$8,"Dobijeno")</f>
        <v>0</v>
      </c>
      <c r="H3" s="6" t="n">
        <f aca="false">COUNTIF($L$6:$L$8,"Izgubljeno")</f>
        <v>1</v>
      </c>
    </row>
    <row r="5" customFormat="false" ht="19.5" hidden="false" customHeight="true" outlineLevel="0" collapsed="false">
      <c r="A5" s="7" t="s">
        <v>7</v>
      </c>
      <c r="B5" s="7" t="s">
        <v>8</v>
      </c>
      <c r="C5" s="7" t="s">
        <v>9</v>
      </c>
      <c r="D5" s="7" t="s">
        <v>10</v>
      </c>
      <c r="E5" s="7" t="s">
        <v>11</v>
      </c>
      <c r="F5" s="7" t="s">
        <v>12</v>
      </c>
      <c r="G5" s="7" t="s">
        <v>13</v>
      </c>
      <c r="H5" s="8" t="s">
        <v>14</v>
      </c>
      <c r="I5" s="8" t="s">
        <v>15</v>
      </c>
      <c r="J5" s="8" t="s">
        <v>16</v>
      </c>
      <c r="K5" s="8" t="s">
        <v>17</v>
      </c>
      <c r="L5" s="8" t="s">
        <v>18</v>
      </c>
      <c r="M5" s="8" t="s">
        <v>3</v>
      </c>
      <c r="N5" s="8" t="s">
        <v>19</v>
      </c>
      <c r="O5" s="8" t="s">
        <v>20</v>
      </c>
      <c r="P5" s="8" t="s">
        <v>21</v>
      </c>
      <c r="Q5" s="8" t="s">
        <v>22</v>
      </c>
    </row>
    <row r="6" customFormat="false" ht="18" hidden="false" customHeight="true" outlineLevel="0" collapsed="false">
      <c r="A6" s="9" t="n">
        <v>1</v>
      </c>
      <c r="B6" s="10" t="n">
        <v>46306.4583333333</v>
      </c>
      <c r="C6" s="11" t="s">
        <v>23</v>
      </c>
      <c r="D6" s="11" t="s">
        <v>24</v>
      </c>
      <c r="E6" s="11" t="s">
        <v>25</v>
      </c>
      <c r="F6" s="11" t="s">
        <v>26</v>
      </c>
      <c r="G6" s="11" t="s">
        <v>27</v>
      </c>
      <c r="H6" s="12" t="n">
        <v>2.6</v>
      </c>
      <c r="I6" s="13" t="n">
        <v>0.416358743710245</v>
      </c>
      <c r="J6" s="13" t="n">
        <v>0.0825327336466371</v>
      </c>
      <c r="K6" s="14" t="n">
        <f aca="false">ROUND(N6*O6,0)</f>
        <v>1290</v>
      </c>
      <c r="L6" s="15" t="s">
        <v>6</v>
      </c>
      <c r="M6" s="16" t="n">
        <f aca="false">IF(L6="Dobijeno",K6*(H6-1),IF(L6="Izgubljeno",-K6,IF(L6="Povraćaj",0,"")))</f>
        <v>-1290</v>
      </c>
      <c r="N6" s="14" t="n">
        <f aca="false">$B$3+SUMIFS($M$6:$M$8,$Q$6:$Q$8,"&lt;="&amp;P6)</f>
        <v>100000</v>
      </c>
      <c r="O6" s="17" t="n">
        <v>0.012895739632287</v>
      </c>
      <c r="P6" s="18" t="n">
        <v>46306.4289088845</v>
      </c>
      <c r="Q6" s="18" t="n">
        <v>46306.6161689815</v>
      </c>
    </row>
    <row r="7" customFormat="false" ht="18" hidden="false" customHeight="true" outlineLevel="0" collapsed="false">
      <c r="A7" s="19" t="n">
        <v>2</v>
      </c>
      <c r="B7" s="20" t="n">
        <v>46306.6041666667</v>
      </c>
      <c r="C7" s="21" t="s">
        <v>23</v>
      </c>
      <c r="D7" s="21" t="s">
        <v>28</v>
      </c>
      <c r="E7" s="21" t="s">
        <v>29</v>
      </c>
      <c r="F7" s="21" t="s">
        <v>30</v>
      </c>
      <c r="G7" s="21" t="s">
        <v>27</v>
      </c>
      <c r="H7" s="22" t="n">
        <v>1.95</v>
      </c>
      <c r="I7" s="23" t="n">
        <v>0.539150526411736</v>
      </c>
      <c r="J7" s="23" t="n">
        <v>0.0513435265028857</v>
      </c>
      <c r="K7" s="24" t="n">
        <f aca="false">ROUND(N7*O7,0)</f>
        <v>1351</v>
      </c>
      <c r="L7" s="25" t="s">
        <v>31</v>
      </c>
      <c r="M7" s="26" t="str">
        <f aca="false">IF(L7="Dobijeno",K7*(H7-1),IF(L7="Izgubljeno",-K7,IF(L7="Povraćaj",0,"")))</f>
        <v/>
      </c>
      <c r="N7" s="24" t="n">
        <f aca="false">$B$3+SUMIFS($M$6:$M$8,$Q$6:$Q$8,"&lt;="&amp;P7)</f>
        <v>100000</v>
      </c>
      <c r="O7" s="27" t="n">
        <v>0.0135114543428647</v>
      </c>
      <c r="P7" s="28" t="n">
        <v>46306.4518352299</v>
      </c>
      <c r="Q7" s="28"/>
    </row>
    <row r="8" customFormat="false" ht="18" hidden="false" customHeight="true" outlineLevel="0" collapsed="false">
      <c r="A8" s="9" t="n">
        <v>3</v>
      </c>
      <c r="B8" s="10" t="n">
        <v>46307.1666666667</v>
      </c>
      <c r="C8" s="11" t="s">
        <v>23</v>
      </c>
      <c r="D8" s="11" t="s">
        <v>32</v>
      </c>
      <c r="E8" s="11" t="s">
        <v>33</v>
      </c>
      <c r="F8" s="11" t="s">
        <v>34</v>
      </c>
      <c r="G8" s="11" t="s">
        <v>35</v>
      </c>
      <c r="H8" s="12" t="n">
        <v>2.75</v>
      </c>
      <c r="I8" s="13" t="n">
        <v>0.381847434531503</v>
      </c>
      <c r="J8" s="13" t="n">
        <v>0.0500804449616319</v>
      </c>
      <c r="K8" s="14" t="n">
        <f aca="false">ROUND(N8*O8,0)</f>
        <v>715</v>
      </c>
      <c r="L8" s="29" t="s">
        <v>36</v>
      </c>
      <c r="M8" s="16" t="str">
        <f aca="false">IF(L8="Dobijeno",K8*(H8-1),IF(L8="Izgubljeno",-K8,IF(L8="Povraćaj",0,"")))</f>
        <v/>
      </c>
      <c r="N8" s="14" t="n">
        <f aca="false">$B$3+SUMIFS($M$6:$M$8,$Q$6:$Q$8,"&lt;="&amp;P8)</f>
        <v>100000</v>
      </c>
      <c r="O8" s="17" t="n">
        <v>0.00715434928023313</v>
      </c>
      <c r="P8" s="18" t="n">
        <v>46306.4193930847</v>
      </c>
      <c r="Q8" s="18"/>
    </row>
  </sheetData>
  <autoFilter ref="A5:N8"/>
  <conditionalFormatting sqref="M6:M8">
    <cfRule type="cellIs" priority="2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2026-10-11T12:57:12Z</dcterms:created>
  <dc:creator>openpyxl</dc:creator>
  <dc:description/>
  <dc:language>en-US</dc:language>
  <cp:lastModifiedBy/>
  <dcterms:modified xsi:type="dcterms:W3CDTF">2026-10-11T12:57:12Z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