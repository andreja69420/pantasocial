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Opklade" sheetId="1" state="visible" r:id="rId3"/>
    <sheet name="Ukupno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<sst xmlns="http://schemas.openxmlformats.org/spreadsheetml/2006/main" count="54" uniqueCount="49">
  <si>
    <t xml:space="preserve">Početna banka (din)</t>
  </si>
  <si>
    <t xml:space="preserve">&lt;- početni kapital; ulog = 1/4 Kelly procenat banke u trenutku opklade; banka se menja tek kad se opklada obračuna (dobijena/izgubljena) i to samo za opklade upisane posle toga</t>
  </si>
  <si>
    <t xml:space="preserve">#</t>
  </si>
  <si>
    <t xml:space="preserve">Početak (Beograd)</t>
  </si>
  <si>
    <t xml:space="preserve">Kategorija</t>
  </si>
  <si>
    <t xml:space="preserve">U planu</t>
  </si>
  <si>
    <t xml:space="preserve">Turnir</t>
  </si>
  <si>
    <t xml:space="preserve">Igramo na</t>
  </si>
  <si>
    <t xml:space="preserve">Protivnik</t>
  </si>
  <si>
    <t xml:space="preserve">Kladionica</t>
  </si>
  <si>
    <t xml:space="preserve">Kvota (početna)</t>
  </si>
  <si>
    <t xml:space="preserve">Model %</t>
  </si>
  <si>
    <t xml:space="preserve">Prednost (EV)</t>
  </si>
  <si>
    <t xml:space="preserve">1/4 Kelly % banke</t>
  </si>
  <si>
    <t xml:space="preserve">Ulog (din)</t>
  </si>
  <si>
    <t xml:space="preserve">Kvota sada / pred meč</t>
  </si>
  <si>
    <t xml:space="preserve">Rezultat (W/L/V)</t>
  </si>
  <si>
    <t xml:space="preserve">Dobit (din)</t>
  </si>
  <si>
    <t xml:space="preserve">Status</t>
  </si>
  <si>
    <t xml:space="preserve">Upisano (Beograd)</t>
  </si>
  <si>
    <t xml:space="preserve">Banka pri opkladi</t>
  </si>
  <si>
    <t xml:space="preserve">Obračunato (Beograd)</t>
  </si>
  <si>
    <t xml:space="preserve">Muški Challenger</t>
  </si>
  <si>
    <t xml:space="preserve">DA</t>
  </si>
  <si>
    <t xml:space="preserve">Catania (Italy) - Qualification, clay</t>
  </si>
  <si>
    <t xml:space="preserve">Jones Maximus</t>
  </si>
  <si>
    <t xml:space="preserve">Gima Sebastian</t>
  </si>
  <si>
    <t xml:space="preserve">Betway</t>
  </si>
  <si>
    <t xml:space="preserve">L</t>
  </si>
  <si>
    <t xml:space="preserve">završen</t>
  </si>
  <si>
    <t xml:space="preserve">Roanne (France) - Qualification, hard (indoor)</t>
  </si>
  <si>
    <t xml:space="preserve">Paul Jakub</t>
  </si>
  <si>
    <t xml:space="preserve">Mcdonald Niels</t>
  </si>
  <si>
    <t xml:space="preserve">u toku / počeo</t>
  </si>
  <si>
    <t xml:space="preserve">Jinan (China), hard</t>
  </si>
  <si>
    <t xml:space="preserve">Kopriva Vit</t>
  </si>
  <si>
    <t xml:space="preserve">Kotov Pavel</t>
  </si>
  <si>
    <t xml:space="preserve">10bet</t>
  </si>
  <si>
    <t xml:space="preserve">čeka</t>
  </si>
  <si>
    <t xml:space="preserve">Opklada ukupno</t>
  </si>
  <si>
    <t xml:space="preserve">Završeno</t>
  </si>
  <si>
    <t xml:space="preserve">Dobijeno</t>
  </si>
  <si>
    <t xml:space="preserve">Izgubljeno</t>
  </si>
  <si>
    <t xml:space="preserve">Uloženo (završene)</t>
  </si>
  <si>
    <t xml:space="preserve">Dobit</t>
  </si>
  <si>
    <t xml:space="preserve">ROI</t>
  </si>
  <si>
    <t xml:space="preserve">Banka sada (din)</t>
  </si>
  <si>
    <t xml:space="preserve">Igraju se samo: ženski ITF (glavno), muški Challenger, muški ITF</t>
  </si>
  <si>
    <t xml:space="preserve">Pravilo: kvota se uzima samo dok je još početna; P = σ(0,44·logit(model) + 0,64·logit(fer kvota)); igra se kad je P·kvota − 1 &gt; 5% i kvota ≤ 5. Ulog = 1/4 Kelly = 0,25·(P·kvota − 1)/(kvota − 1) banke u trenutku opklade (početna banka + dobit svih opklada završenih do tada).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</si>
</sst>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\.mm&quot;. &quot;hh:mm"/>
    <numFmt numFmtId="166" formatCode="0.0%"/>
    <numFmt numFmtId="167" formatCode="#,##0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DDEBF7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3"/>
    <col collapsed="false" customWidth="true" hidden="false" outlineLevel="0" max="3" min="3" style="0" width="16"/>
    <col collapsed="false" customWidth="true" hidden="false" outlineLevel="0" max="4" min="4" style="0" width="11"/>
    <col collapsed="false" customWidth="true" hidden="false" outlineLevel="0" max="5" min="5" style="0" width="34"/>
    <col collapsed="false" customWidth="true" hidden="false" outlineLevel="0" max="7" min="6" style="0" width="22"/>
    <col collapsed="false" customWidth="true" hidden="false" outlineLevel="0" max="8" min="8" style="0" width="13"/>
    <col collapsed="false" customWidth="true" hidden="false" outlineLevel="0" max="9" min="9" style="0" width="9"/>
    <col collapsed="false" customWidth="true" hidden="false" outlineLevel="0" max="10" min="10" style="0" width="8"/>
    <col collapsed="false" customWidth="true" hidden="false" outlineLevel="0" max="11" min="11" style="0" width="9"/>
    <col collapsed="false" customWidth="true" hidden="false" outlineLevel="0" max="13" min="12" style="0" width="10"/>
    <col collapsed="false" customWidth="true" hidden="false" outlineLevel="0" max="14" min="14" style="0" width="11"/>
    <col collapsed="false" customWidth="true" hidden="false" outlineLevel="0" max="15" min="15" style="0" width="9"/>
    <col collapsed="false" customWidth="true" hidden="false" outlineLevel="0" max="16" min="16" style="0" width="10"/>
    <col collapsed="false" customWidth="true" hidden="false" outlineLevel="0" max="18" min="17" style="0" width="13"/>
    <col collapsed="false" customWidth="true" hidden="false" outlineLevel="0" max="20" min="19" style="0" width="12"/>
  </cols>
  <sheetData>
    <row r="1" customFormat="false" ht="15" hidden="false" customHeight="false" outlineLevel="0" collapsed="false">
      <c r="A1" s="1" t="s">
        <v>0</v>
      </c>
      <c r="B1" s="2" t="n">
        <v>100000</v>
      </c>
      <c r="C1" s="3" t="s">
        <v>1</v>
      </c>
    </row>
    <row r="3" customFormat="false" ht="41.75" hidden="false" customHeight="false" outlineLevel="0" collapsed="false">
      <c r="A3" s="4" t="s">
        <v>2</v>
      </c>
      <c r="B3" s="4" t="s">
        <v>3</v>
      </c>
      <c r="C3" s="4" t="s">
        <v>4</v>
      </c>
      <c r="D3" s="4" t="s">
        <v>5</v>
      </c>
      <c r="E3" s="4" t="s">
        <v>6</v>
      </c>
      <c r="F3" s="4" t="s">
        <v>7</v>
      </c>
      <c r="G3" s="4" t="s">
        <v>8</v>
      </c>
      <c r="H3" s="4" t="s">
        <v>9</v>
      </c>
      <c r="I3" s="4" t="s">
        <v>10</v>
      </c>
      <c r="J3" s="4" t="s">
        <v>11</v>
      </c>
      <c r="K3" s="4" t="s">
        <v>12</v>
      </c>
      <c r="L3" s="4" t="s">
        <v>13</v>
      </c>
      <c r="M3" s="4" t="s">
        <v>14</v>
      </c>
      <c r="N3" s="4" t="s">
        <v>15</v>
      </c>
      <c r="O3" s="4" t="s">
        <v>16</v>
      </c>
      <c r="P3" s="4" t="s">
        <v>17</v>
      </c>
      <c r="Q3" s="4" t="s">
        <v>18</v>
      </c>
      <c r="R3" s="4" t="s">
        <v>19</v>
      </c>
      <c r="S3" s="4" t="s">
        <v>20</v>
      </c>
      <c r="T3" s="4" t="s">
        <v>21</v>
      </c>
    </row>
    <row r="4" customFormat="false" ht="15" hidden="false" customHeight="false" outlineLevel="0" collapsed="false">
      <c r="A4" s="0" t="n">
        <v>1</v>
      </c>
      <c r="B4" s="5" t="n">
        <v>46306.4583333333</v>
      </c>
      <c r="C4" s="3" t="s">
        <v>22</v>
      </c>
      <c r="D4" s="3" t="s">
        <v>23</v>
      </c>
      <c r="E4" s="3" t="s">
        <v>24</v>
      </c>
      <c r="F4" s="3" t="s">
        <v>25</v>
      </c>
      <c r="G4" s="3" t="s">
        <v>26</v>
      </c>
      <c r="H4" s="3" t="s">
        <v>27</v>
      </c>
      <c r="I4" s="0" t="n">
        <v>2.6</v>
      </c>
      <c r="J4" s="6" t="n">
        <v>0.416358743710245</v>
      </c>
      <c r="K4" s="6" t="n">
        <v>0.0825327336466371</v>
      </c>
      <c r="L4" s="6" t="n">
        <v>0.012895739632287</v>
      </c>
      <c r="M4" s="7" t="n">
        <f aca="false">ROUND(S4*L4,0)</f>
        <v>1290</v>
      </c>
      <c r="N4" s="0" t="n">
        <v>2.75</v>
      </c>
      <c r="O4" s="3" t="s">
        <v>28</v>
      </c>
      <c r="P4" s="7" t="n">
        <f aca="false">IF(O4="W",M4*(I4-1),IF(O4="L",-M4,IF(O4="V",0,"")))</f>
        <v>-1290</v>
      </c>
      <c r="Q4" s="3" t="s">
        <v>29</v>
      </c>
      <c r="R4" s="5" t="n">
        <v>46306.4289088845</v>
      </c>
      <c r="S4" s="7" t="n">
        <f aca="false">$B$1+SUMIFS($P$4:$P$6,$T$4:$T$6,"&lt;="&amp;R4)</f>
        <v>100000</v>
      </c>
      <c r="T4" s="5" t="n">
        <v>46306.6161689815</v>
      </c>
    </row>
    <row r="5" customFormat="false" ht="15" hidden="false" customHeight="false" outlineLevel="0" collapsed="false">
      <c r="A5" s="0" t="n">
        <v>2</v>
      </c>
      <c r="B5" s="5" t="n">
        <v>46306.6041666667</v>
      </c>
      <c r="C5" s="3" t="s">
        <v>22</v>
      </c>
      <c r="D5" s="3" t="s">
        <v>23</v>
      </c>
      <c r="E5" s="3" t="s">
        <v>30</v>
      </c>
      <c r="F5" s="3" t="s">
        <v>31</v>
      </c>
      <c r="G5" s="3" t="s">
        <v>32</v>
      </c>
      <c r="H5" s="3" t="s">
        <v>27</v>
      </c>
      <c r="I5" s="0" t="n">
        <v>1.95</v>
      </c>
      <c r="J5" s="6" t="n">
        <v>0.539150526411736</v>
      </c>
      <c r="K5" s="6" t="n">
        <v>0.0513435265028857</v>
      </c>
      <c r="L5" s="6" t="n">
        <v>0.0135114543428647</v>
      </c>
      <c r="M5" s="7" t="n">
        <f aca="false">ROUND(S5*L5,0)</f>
        <v>1351</v>
      </c>
      <c r="N5" s="0" t="n">
        <v>1.83</v>
      </c>
      <c r="P5" s="7" t="str">
        <f aca="false">IF(O5="W",M5*(I5-1),IF(O5="L",-M5,IF(O5="V",0,"")))</f>
        <v/>
      </c>
      <c r="Q5" s="3" t="s">
        <v>33</v>
      </c>
      <c r="R5" s="5" t="n">
        <v>46306.4518352299</v>
      </c>
      <c r="S5" s="7" t="n">
        <f aca="false">$B$1+SUMIFS($P$4:$P$6,$T$4:$T$6,"&lt;="&amp;R5)</f>
        <v>100000</v>
      </c>
      <c r="T5" s="5"/>
    </row>
    <row r="6" customFormat="false" ht="15" hidden="false" customHeight="false" outlineLevel="0" collapsed="false">
      <c r="A6" s="0" t="n">
        <v>3</v>
      </c>
      <c r="B6" s="5" t="n">
        <v>46307.1666666667</v>
      </c>
      <c r="C6" s="3" t="s">
        <v>22</v>
      </c>
      <c r="D6" s="3" t="s">
        <v>23</v>
      </c>
      <c r="E6" s="3" t="s">
        <v>34</v>
      </c>
      <c r="F6" s="3" t="s">
        <v>35</v>
      </c>
      <c r="G6" s="3" t="s">
        <v>36</v>
      </c>
      <c r="H6" s="3" t="s">
        <v>37</v>
      </c>
      <c r="I6" s="0" t="n">
        <v>2.75</v>
      </c>
      <c r="J6" s="6" t="n">
        <v>0.381847434531503</v>
      </c>
      <c r="K6" s="6" t="n">
        <v>0.0500804449616319</v>
      </c>
      <c r="L6" s="6" t="n">
        <v>0.00715434928023313</v>
      </c>
      <c r="M6" s="7" t="n">
        <f aca="false">ROUND(S6*L6,0)</f>
        <v>715</v>
      </c>
      <c r="N6" s="0" t="n">
        <v>2.6</v>
      </c>
      <c r="P6" s="7" t="str">
        <f aca="false">IF(O6="W",M6*(I6-1),IF(O6="L",-M6,IF(O6="V",0,"")))</f>
        <v/>
      </c>
      <c r="Q6" s="3" t="s">
        <v>38</v>
      </c>
      <c r="R6" s="5" t="n">
        <v>46306.4193930847</v>
      </c>
      <c r="S6" s="7" t="n">
        <f aca="false">$B$1+SUMIFS($P$4:$P$6,$T$4:$T$6,"&lt;="&amp;R6)</f>
        <v>100000</v>
      </c>
      <c r="T6" s="5"/>
    </row>
  </sheetData>
  <conditionalFormatting sqref="P4:P6">
    <cfRule type="cellIs" priority="2" operator="greaterThan" aboveAverage="0" equalAverage="0" bottom="0" percent="0" rank="0" text="" dxfId="0">
      <formula>0</formula>
    </cfRule>
    <cfRule type="cellIs" priority="3" operator="less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B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</cols>
  <sheetData>
    <row r="2" customFormat="false" ht="15" hidden="false" customHeight="false" outlineLevel="0" collapsed="false">
      <c r="A2" s="1" t="s">
        <v>39</v>
      </c>
      <c r="B2" s="0" t="n">
        <f aca="false">COUNTA(Opklade!F4:F6)</f>
        <v>3</v>
      </c>
    </row>
    <row r="3" customFormat="false" ht="15" hidden="false" customHeight="false" outlineLevel="0" collapsed="false">
      <c r="A3" s="1" t="s">
        <v>40</v>
      </c>
      <c r="B3" s="0" t="n">
        <f aca="false">COUNTIF(Opklade!O4:O6,"W")+COUNTIF(Opklade!O4:O6,"L")+COUNTIF(Opklade!O4:O6,"V")</f>
        <v>1</v>
      </c>
    </row>
    <row r="4" customFormat="false" ht="15" hidden="false" customHeight="false" outlineLevel="0" collapsed="false">
      <c r="A4" s="1" t="s">
        <v>41</v>
      </c>
      <c r="B4" s="0" t="n">
        <f aca="false">COUNTIF(Opklade!O4:O6,"W")</f>
        <v>0</v>
      </c>
    </row>
    <row r="5" customFormat="false" ht="15" hidden="false" customHeight="false" outlineLevel="0" collapsed="false">
      <c r="A5" s="1" t="s">
        <v>42</v>
      </c>
      <c r="B5" s="0" t="n">
        <f aca="false">COUNTIF(Opklade!O4:O6,"L")</f>
        <v>1</v>
      </c>
    </row>
    <row r="6" customFormat="false" ht="15" hidden="false" customHeight="false" outlineLevel="0" collapsed="false">
      <c r="A6" s="1" t="s">
        <v>43</v>
      </c>
      <c r="B6" s="0" t="n">
        <f aca="false">SUMPRODUCT((Opklade!O4:O6="W")+(Opklade!O4:O6="L"),Opklade!M4:M6)</f>
        <v>1290</v>
      </c>
    </row>
    <row r="7" customFormat="false" ht="15" hidden="false" customHeight="false" outlineLevel="0" collapsed="false">
      <c r="A7" s="1" t="s">
        <v>44</v>
      </c>
      <c r="B7" s="0" t="n">
        <f aca="false">SUM(Opklade!P4:P6)</f>
        <v>-1290</v>
      </c>
    </row>
    <row r="8" customFormat="false" ht="15" hidden="false" customHeight="false" outlineLevel="0" collapsed="false">
      <c r="A8" s="1" t="s">
        <v>45</v>
      </c>
      <c r="B8" s="6" t="n">
        <f aca="false">IF(B6&gt;0,B7/B6,"")</f>
        <v>-1</v>
      </c>
    </row>
    <row r="9" customFormat="false" ht="15" hidden="false" customHeight="false" outlineLevel="0" collapsed="false">
      <c r="A9" s="1" t="s">
        <v>46</v>
      </c>
      <c r="B9" s="0" t="n">
        <f aca="false">Opklade!B1+B7</f>
        <v>98710</v>
      </c>
    </row>
    <row r="10" customFormat="false" ht="15" hidden="false" customHeight="false" outlineLevel="0" collapsed="false">
      <c r="A10" s="1" t="s">
        <v>47</v>
      </c>
    </row>
    <row r="12" customFormat="false" ht="15" hidden="false" customHeight="false" outlineLevel="0" collapsed="false">
      <c r="A12" s="0" t="s">
        <v>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2026-10-11T12:52:06Z</dcterms:created>
  <dc:creator>openpyxl</dc:creator>
  <dc:description/>
  <dc:language>en-US</dc:language>
  <cp:lastModifiedBy/>
  <dcterms:modified xsi:type="dcterms:W3CDTF">2026-10-11T12:52:06Z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